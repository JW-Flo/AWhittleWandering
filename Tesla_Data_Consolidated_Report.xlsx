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Summary" sheetId="1" state="visible" r:id="rId3"/>
    <sheet name="48-States Road Trip" sheetId="2" state="visible" r:id="rId4"/>
    <sheet name="Charging Analysis" sheetId="3" state="visible" r:id="rId5"/>
    <sheet name="Key Insights" sheetId="4" state="visible" r:id="rId6"/>
    <sheet name="File Invento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<sst xmlns="http://schemas.openxmlformats.org/spreadsheetml/2006/main" count="547" uniqueCount="479">
  <si>
    <t xml:space="preserve">Tesla Data Consolidated Report</t>
  </si>
  <si>
    <t xml:space="preserve">VIN: 5YJYGDEE5LF027324  |  Model Y Long Range</t>
  </si>
  <si>
    <t xml:space="preserve">YOU HAVE TWO DISTINCT DATASETS</t>
  </si>
  <si>
    <t xml:space="preserve">Playbook (Historical)</t>
  </si>
  <si>
    <t xml:space="preserve">Downloads (Road Trip)</t>
  </si>
  <si>
    <t xml:space="preserve">Combined</t>
  </si>
  <si>
    <t xml:space="preserve">Period</t>
  </si>
  <si>
    <t xml:space="preserve">Mar 23, 2023 - Feb 15, 2025</t>
  </si>
  <si>
    <t xml:space="preserve">Jun 3 - Jul 26, 2025</t>
  </si>
  <si>
    <t xml:space="preserve">Mar 2023 - Jul 2025</t>
  </si>
  <si>
    <t xml:space="preserve">Duration</t>
  </si>
  <si>
    <t xml:space="preserve">~23 months</t>
  </si>
  <si>
    <t xml:space="preserve">53 days (89-day trip)</t>
  </si>
  <si>
    <t xml:space="preserve">~28 months</t>
  </si>
  <si>
    <t xml:space="preserve">Gap Between</t>
  </si>
  <si>
    <t xml:space="preserve">Feb 15 - Jun 3 = 3.5 month gap</t>
  </si>
  <si>
    <t xml:space="preserve">Odometer Range</t>
  </si>
  <si>
    <t xml:space="preserve">27,139 - 51,756 mi</t>
  </si>
  <si>
    <t xml:space="preserve">58,046 - 69,997 mi</t>
  </si>
  <si>
    <t xml:space="preserve">27,139 - 69,997 mi</t>
  </si>
  <si>
    <t xml:space="preserve">Miles Covered</t>
  </si>
  <si>
    <t xml:space="preserve">24,617 mi</t>
  </si>
  <si>
    <t xml:space="preserve">11,950 mi</t>
  </si>
  <si>
    <t xml:space="preserve">~42,859 mi total</t>
  </si>
  <si>
    <t xml:space="preserve">Note</t>
  </si>
  <si>
    <t xml:space="preserve">~6,290 mi gap (untracked)</t>
  </si>
  <si>
    <t xml:space="preserve">Missing: Feb-Jun 2025</t>
  </si>
  <si>
    <t xml:space="preserve">DATA VOLUME</t>
  </si>
  <si>
    <t xml:space="preserve">Charging Rows</t>
  </si>
  <si>
    <t xml:space="preserve">2,247,724</t>
  </si>
  <si>
    <t xml:space="preserve">103,190</t>
  </si>
  <si>
    <t xml:space="preserve">2,350,914</t>
  </si>
  <si>
    <t xml:space="preserve">Climate Rows</t>
  </si>
  <si>
    <t xml:space="preserve">874,961</t>
  </si>
  <si>
    <t xml:space="preserve">103,188</t>
  </si>
  <si>
    <t xml:space="preserve">978,149</t>
  </si>
  <si>
    <t xml:space="preserve">Vehicle State Rows</t>
  </si>
  <si>
    <t xml:space="preserve">874,960</t>
  </si>
  <si>
    <t xml:space="preserve">978,150</t>
  </si>
  <si>
    <t xml:space="preserve">Driving/GPS Rows</t>
  </si>
  <si>
    <t xml:space="preserve">164,134</t>
  </si>
  <si>
    <t xml:space="preserve">37,712</t>
  </si>
  <si>
    <t xml:space="preserve">201,846</t>
  </si>
  <si>
    <t xml:space="preserve">Battery Rows</t>
  </si>
  <si>
    <t xml:space="preserve">1,784 (Jan-Feb 2025 only)</t>
  </si>
  <si>
    <t xml:space="preserve">103,171</t>
  </si>
  <si>
    <t xml:space="preserve">104,955</t>
  </si>
  <si>
    <t xml:space="preserve">TPMS Rows</t>
  </si>
  <si>
    <t xml:space="preserve">0 (headers only)</t>
  </si>
  <si>
    <t xml:space="preserve">~1,000 (Jun-Jul 2025)</t>
  </si>
  <si>
    <t xml:space="preserve">~1,000</t>
  </si>
  <si>
    <t xml:space="preserve">Total Rows</t>
  </si>
  <si>
    <t xml:space="preserve">~4.16 million</t>
  </si>
  <si>
    <t xml:space="preserve">~450K</t>
  </si>
  <si>
    <t xml:space="preserve">~4.61 million</t>
  </si>
  <si>
    <t xml:space="preserve">BATTERY &amp; ENERGY</t>
  </si>
  <si>
    <t xml:space="preserve">Lifetime Energy Start</t>
  </si>
  <si>
    <t xml:space="preserve">25,522 kWh</t>
  </si>
  <si>
    <t xml:space="preserve">29,917 kWh</t>
  </si>
  <si>
    <t xml:space="preserve">Lifetime Energy End</t>
  </si>
  <si>
    <t xml:space="preserve">26,683 kWh</t>
  </si>
  <si>
    <t xml:space="preserve">35,126 kWh</t>
  </si>
  <si>
    <t xml:space="preserve">Max Charger Power</t>
  </si>
  <si>
    <t xml:space="preserve">258 kW</t>
  </si>
  <si>
    <t xml:space="preserve">245 kW</t>
  </si>
  <si>
    <t xml:space="preserve">Max Rated Range</t>
  </si>
  <si>
    <t xml:space="preserve">287.6 mi</t>
  </si>
  <si>
    <t xml:space="preserve">271.5 mi</t>
  </si>
  <si>
    <t xml:space="preserve">287.6 - 271.5 mi (degradation)</t>
  </si>
  <si>
    <t xml:space="preserve">Battery Temp Range</t>
  </si>
  <si>
    <t xml:space="preserve">2.0C - 58.5C</t>
  </si>
  <si>
    <t xml:space="preserve">18.5C - 65.5C</t>
  </si>
  <si>
    <t xml:space="preserve">2.0C - 65.5C</t>
  </si>
  <si>
    <t xml:space="preserve">DRIVING</t>
  </si>
  <si>
    <t xml:space="preserve">Max Speed</t>
  </si>
  <si>
    <t xml:space="preserve">101 mph</t>
  </si>
  <si>
    <t xml:space="preserve">99 mph</t>
  </si>
  <si>
    <t xml:space="preserve">Avg Speed (moving)</t>
  </si>
  <si>
    <t xml:space="preserve">37.0 mph</t>
  </si>
  <si>
    <t xml:space="preserve">46.3 mph</t>
  </si>
  <si>
    <t xml:space="preserve">Higher on road trip</t>
  </si>
  <si>
    <t xml:space="preserve">Geography</t>
  </si>
  <si>
    <t xml:space="preserve">TX/regional (Austin)</t>
  </si>
  <si>
    <t xml:space="preserve">48-state road trip</t>
  </si>
  <si>
    <t xml:space="preserve">Continental US</t>
  </si>
  <si>
    <t xml:space="preserve">CLIMATE</t>
  </si>
  <si>
    <t xml:space="preserve">Climate Active</t>
  </si>
  <si>
    <t xml:space="preserve">8.0%</t>
  </si>
  <si>
    <t xml:space="preserve">56.5%</t>
  </si>
  <si>
    <t xml:space="preserve">Summer trip = always on</t>
  </si>
  <si>
    <t xml:space="preserve">Inside Temp Range</t>
  </si>
  <si>
    <t xml:space="preserve">-2.5C - 67.2C</t>
  </si>
  <si>
    <t xml:space="preserve">9.5C - 72.0C</t>
  </si>
  <si>
    <t xml:space="preserve">-2.5C - 72.0C</t>
  </si>
  <si>
    <t xml:space="preserve">Outside Temp Range</t>
  </si>
  <si>
    <t xml:space="preserve">-5.5C - 49.0C</t>
  </si>
  <si>
    <t xml:space="preserve">7.5C - 50.5C</t>
  </si>
  <si>
    <t xml:space="preserve">-5.5C - 50.5C</t>
  </si>
  <si>
    <t xml:space="preserve">SECURITY</t>
  </si>
  <si>
    <t xml:space="preserve">Locked %</t>
  </si>
  <si>
    <t xml:space="preserve">94.0%</t>
  </si>
  <si>
    <t xml:space="preserve">75.3%</t>
  </si>
  <si>
    <t xml:space="preserve">Less locked during trip</t>
  </si>
  <si>
    <t xml:space="preserve">Sentry Mode %</t>
  </si>
  <si>
    <t xml:space="preserve">86.3%</t>
  </si>
  <si>
    <t xml:space="preserve">50.4%</t>
  </si>
  <si>
    <t xml:space="preserve">Less sentry during trip</t>
  </si>
  <si>
    <t xml:space="preserve">48-States Road Trip - Jun 3 to Aug 31, 2025</t>
  </si>
  <si>
    <t xml:space="preserve">TRIP SUMMARY</t>
  </si>
  <si>
    <t xml:space="preserve">Total Distance</t>
  </si>
  <si>
    <t xml:space="preserve">15,847 miles</t>
  </si>
  <si>
    <t xml:space="preserve">Total Energy</t>
  </si>
  <si>
    <t xml:space="preserve">6,915 kWh</t>
  </si>
  <si>
    <t xml:space="preserve">Efficiency</t>
  </si>
  <si>
    <t xml:space="preserve">436 Wh/mi</t>
  </si>
  <si>
    <t xml:space="preserve">Charging Sessions</t>
  </si>
  <si>
    <t xml:space="preserve">259</t>
  </si>
  <si>
    <t xml:space="preserve">Total Charging Cost</t>
  </si>
  <si>
    <t xml:space="preserve">$2,272.23</t>
  </si>
  <si>
    <t xml:space="preserve">Avg Cost/kWh</t>
  </si>
  <si>
    <t xml:space="preserve">$0.37</t>
  </si>
  <si>
    <t xml:space="preserve">Trip Duration</t>
  </si>
  <si>
    <t xml:space="preserve">89 days</t>
  </si>
  <si>
    <t xml:space="preserve">States Visited</t>
  </si>
  <si>
    <t xml:space="preserve">48 (all lower 48)</t>
  </si>
  <si>
    <t xml:space="preserve">People Met</t>
  </si>
  <si>
    <t xml:space="preserve">11</t>
  </si>
  <si>
    <t xml:space="preserve">JOURNEY PHASES</t>
  </si>
  <si>
    <t xml:space="preserve">Phase</t>
  </si>
  <si>
    <t xml:space="preserve">Name</t>
  </si>
  <si>
    <t xml:space="preserve">Dates</t>
  </si>
  <si>
    <t xml:space="preserve">States</t>
  </si>
  <si>
    <t xml:space="preserve">Miles</t>
  </si>
  <si>
    <t xml:space="preserve">Key Stops</t>
  </si>
  <si>
    <t xml:space="preserve">TX Departure &amp; Westward</t>
  </si>
  <si>
    <t xml:space="preserve">Jun 3-13</t>
  </si>
  <si>
    <t xml:space="preserve">TX, NM, CO, AZ, CA</t>
  </si>
  <si>
    <t xml:space="preserve">Corpus Christi to LA</t>
  </si>
  <si>
    <t xml:space="preserve">CA &amp; Pacific NW</t>
  </si>
  <si>
    <t xml:space="preserve">Jun 14-26</t>
  </si>
  <si>
    <t xml:space="preserve">CA, OR, WA, MT</t>
  </si>
  <si>
    <t xml:space="preserve">SF, Redwoods, Seattle</t>
  </si>
  <si>
    <t xml:space="preserve">Mountain West &amp; Heartland</t>
  </si>
  <si>
    <t xml:space="preserve">Jun 27-Jul 10</t>
  </si>
  <si>
    <t xml:space="preserve">WY, UT, NE, IA, IL, WI, MI, OH, PA, NY</t>
  </si>
  <si>
    <t xml:space="preserve">Yellowstone, Chicago, Niagara</t>
  </si>
  <si>
    <t xml:space="preserve">New England Tour</t>
  </si>
  <si>
    <t xml:space="preserve">Jul 11-20</t>
  </si>
  <si>
    <t xml:space="preserve">VT, NH, ME, MA, RI, CT, NJ, MD, VA</t>
  </si>
  <si>
    <t xml:space="preserve">Burlington, Boston, Hartford</t>
  </si>
  <si>
    <t xml:space="preserve">Southern Loop &amp; Return</t>
  </si>
  <si>
    <t xml:space="preserve">Jul 21-Aug 6</t>
  </si>
  <si>
    <t xml:space="preserve">NC, SC, GA, FL, KY, MO, TN, AR, OK</t>
  </si>
  <si>
    <t xml:space="preserve">Savannah, Sarasota, Memphis</t>
  </si>
  <si>
    <t xml:space="preserve">Final TX Loop</t>
  </si>
  <si>
    <t xml:space="preserve">Aug 7-31</t>
  </si>
  <si>
    <t xml:space="preserve">TX, KS, LA, MS, AL</t>
  </si>
  <si>
    <t xml:space="preserve">Amarillo, Austin</t>
  </si>
  <si>
    <t xml:space="preserve">STATE-BY-STATE ITINERARY</t>
  </si>
  <si>
    <t xml:space="preserve">State</t>
  </si>
  <si>
    <t xml:space="preserve">Visits</t>
  </si>
  <si>
    <t xml:space="preserve">Locations</t>
  </si>
  <si>
    <t xml:space="preserve">TX</t>
  </si>
  <si>
    <t xml:space="preserve">Corpus Christi, Amarillo, San Angelo, Austin</t>
  </si>
  <si>
    <t xml:space="preserve">6/4, 8/4, 8/5, 8/6</t>
  </si>
  <si>
    <t xml:space="preserve">AZ</t>
  </si>
  <si>
    <t xml:space="preserve">Tucson, Grand Canyon</t>
  </si>
  <si>
    <t xml:space="preserve">6/5, 6/6</t>
  </si>
  <si>
    <t xml:space="preserve">NV</t>
  </si>
  <si>
    <t xml:space="preserve">Las Vegas</t>
  </si>
  <si>
    <t xml:space="preserve">6/7</t>
  </si>
  <si>
    <t xml:space="preserve">CA</t>
  </si>
  <si>
    <t xml:space="preserve">Los Angeles, Redwoods, Yosemite, Colfax</t>
  </si>
  <si>
    <t xml:space="preserve">6/8, 6/9, 6/10, 6/11–6/12</t>
  </si>
  <si>
    <t xml:space="preserve">Laurent, Stefan Morris</t>
  </si>
  <si>
    <t xml:space="preserve">OR</t>
  </si>
  <si>
    <t xml:space="preserve">Cannon Beach</t>
  </si>
  <si>
    <t xml:space="preserve">6/13</t>
  </si>
  <si>
    <t xml:space="preserve">WA</t>
  </si>
  <si>
    <t xml:space="preserve">Seattle, Olympia</t>
  </si>
  <si>
    <t xml:space="preserve">6/14, 6/15</t>
  </si>
  <si>
    <t xml:space="preserve">Troy, Brian</t>
  </si>
  <si>
    <t xml:space="preserve">WY</t>
  </si>
  <si>
    <t xml:space="preserve">Yellowstone</t>
  </si>
  <si>
    <t xml:space="preserve">6/16–6/17</t>
  </si>
  <si>
    <t xml:space="preserve">UT</t>
  </si>
  <si>
    <t xml:space="preserve">Provo, Salt Lake City</t>
  </si>
  <si>
    <t xml:space="preserve">6/18–6/19, 6/20</t>
  </si>
  <si>
    <t xml:space="preserve">Erin Lane, Brady Covington</t>
  </si>
  <si>
    <t xml:space="preserve">NE</t>
  </si>
  <si>
    <t xml:space="preserve">Lincoln</t>
  </si>
  <si>
    <t xml:space="preserve">6/21–6/24</t>
  </si>
  <si>
    <t xml:space="preserve">IA</t>
  </si>
  <si>
    <t xml:space="preserve">Des Moines</t>
  </si>
  <si>
    <t xml:space="preserve">6/25</t>
  </si>
  <si>
    <t xml:space="preserve">IL</t>
  </si>
  <si>
    <t xml:space="preserve">Chicago</t>
  </si>
  <si>
    <t xml:space="preserve">6/26</t>
  </si>
  <si>
    <t xml:space="preserve">Connor McBride</t>
  </si>
  <si>
    <t xml:space="preserve">WI</t>
  </si>
  <si>
    <t xml:space="preserve">Madison</t>
  </si>
  <si>
    <t xml:space="preserve">6/27</t>
  </si>
  <si>
    <t xml:space="preserve">MI</t>
  </si>
  <si>
    <t xml:space="preserve">Traverse City</t>
  </si>
  <si>
    <t xml:space="preserve">6/28</t>
  </si>
  <si>
    <t xml:space="preserve">OH</t>
  </si>
  <si>
    <t xml:space="preserve">Cleveland</t>
  </si>
  <si>
    <t xml:space="preserve">6/29</t>
  </si>
  <si>
    <t xml:space="preserve">PA</t>
  </si>
  <si>
    <t xml:space="preserve">Erie</t>
  </si>
  <si>
    <t xml:space="preserve">6/30</t>
  </si>
  <si>
    <t xml:space="preserve">NY</t>
  </si>
  <si>
    <t xml:space="preserve">Niagara Falls, Hudson Valley</t>
  </si>
  <si>
    <t xml:space="preserve">7/1, 7/11</t>
  </si>
  <si>
    <t xml:space="preserve">VT</t>
  </si>
  <si>
    <t xml:space="preserve">Burlington</t>
  </si>
  <si>
    <t xml:space="preserve">7/2</t>
  </si>
  <si>
    <t xml:space="preserve">NH</t>
  </si>
  <si>
    <t xml:space="preserve">Concord</t>
  </si>
  <si>
    <t xml:space="preserve">7/3</t>
  </si>
  <si>
    <t xml:space="preserve">ME</t>
  </si>
  <si>
    <t xml:space="preserve">Portland</t>
  </si>
  <si>
    <t xml:space="preserve">7/4</t>
  </si>
  <si>
    <t xml:space="preserve">MA</t>
  </si>
  <si>
    <t xml:space="preserve">Boston</t>
  </si>
  <si>
    <t xml:space="preserve">7/5</t>
  </si>
  <si>
    <t xml:space="preserve">RI</t>
  </si>
  <si>
    <t xml:space="preserve">Providence</t>
  </si>
  <si>
    <t xml:space="preserve">7/6</t>
  </si>
  <si>
    <t xml:space="preserve">CT</t>
  </si>
  <si>
    <t xml:space="preserve">Hartford</t>
  </si>
  <si>
    <t xml:space="preserve">7/7–7/10</t>
  </si>
  <si>
    <t xml:space="preserve">Deanna</t>
  </si>
  <si>
    <t xml:space="preserve">NJ</t>
  </si>
  <si>
    <t xml:space="preserve">Newark</t>
  </si>
  <si>
    <t xml:space="preserve">7/12</t>
  </si>
  <si>
    <t xml:space="preserve">MD</t>
  </si>
  <si>
    <t xml:space="preserve">Baltimore</t>
  </si>
  <si>
    <t xml:space="preserve">7/13</t>
  </si>
  <si>
    <t xml:space="preserve">VA</t>
  </si>
  <si>
    <t xml:space="preserve">Richmond</t>
  </si>
  <si>
    <t xml:space="preserve">7/14</t>
  </si>
  <si>
    <t xml:space="preserve">SC</t>
  </si>
  <si>
    <t xml:space="preserve">Charleston, Columbia</t>
  </si>
  <si>
    <t xml:space="preserve">7/15, 7/16</t>
  </si>
  <si>
    <t xml:space="preserve">GA</t>
  </si>
  <si>
    <t xml:space="preserve">Savannah</t>
  </si>
  <si>
    <t xml:space="preserve">7/17</t>
  </si>
  <si>
    <t xml:space="preserve">FL</t>
  </si>
  <si>
    <t xml:space="preserve">Gainesville, Sarasota</t>
  </si>
  <si>
    <t xml:space="preserve">7/18, 7/19–7/20</t>
  </si>
  <si>
    <t xml:space="preserve">John &amp; Sarah</t>
  </si>
  <si>
    <t xml:space="preserve">NC</t>
  </si>
  <si>
    <t xml:space="preserve">Max Patch, Monroe</t>
  </si>
  <si>
    <t xml:space="preserve">7/21–7/23, 7/24–7/28</t>
  </si>
  <si>
    <t xml:space="preserve">Nana and Oawpaw</t>
  </si>
  <si>
    <t xml:space="preserve">TN</t>
  </si>
  <si>
    <t xml:space="preserve">Knoxville, Memphis</t>
  </si>
  <si>
    <t xml:space="preserve">7/29, 8/1</t>
  </si>
  <si>
    <t xml:space="preserve">Barton</t>
  </si>
  <si>
    <t xml:space="preserve">KY</t>
  </si>
  <si>
    <t xml:space="preserve">Lexington</t>
  </si>
  <si>
    <t xml:space="preserve">7/30</t>
  </si>
  <si>
    <t xml:space="preserve">MO</t>
  </si>
  <si>
    <t xml:space="preserve">St. Louis</t>
  </si>
  <si>
    <t xml:space="preserve">7/31</t>
  </si>
  <si>
    <t xml:space="preserve">AR</t>
  </si>
  <si>
    <t xml:space="preserve">Ozarks</t>
  </si>
  <si>
    <t xml:space="preserve">8/2</t>
  </si>
  <si>
    <t xml:space="preserve">OK</t>
  </si>
  <si>
    <t xml:space="preserve">Oklahoma City</t>
  </si>
  <si>
    <t xml:space="preserve">8/3</t>
  </si>
  <si>
    <t xml:space="preserve">Daily Charging Log - 48-States Trip</t>
  </si>
  <si>
    <t xml:space="preserve">Date</t>
  </si>
  <si>
    <t xml:space="preserve">Energy (kWh)</t>
  </si>
  <si>
    <t xml:space="preserve">Cost ($)</t>
  </si>
  <si>
    <t xml:space="preserve">Duration (min)</t>
  </si>
  <si>
    <t xml:space="preserve">Sessions</t>
  </si>
  <si>
    <t xml:space="preserve">$/kWh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</si>
  <si>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</si>
  <si>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</si>
  <si>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</si>
  <si>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</si>
  <si>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</si>
  <si>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</si>
  <si>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</si>
  <si>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</si>
  <si>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</si>
  <si>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</si>
  <si>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</si>
  <si>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</si>
  <si>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</si>
  <si>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</si>
  <si>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</si>
  <si>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</si>
  <si>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</si>
  <si>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</si>
  <si>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</si>
  <si>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</si>
  <si>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</si>
  <si>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</si>
  <si>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</si>
  <si>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</si>
  <si>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</si>
  <si>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</si>
  <si>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</si>
  <si>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</si>
  <si>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</si>
  <si>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</si>
  <si>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</si>
  <si>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</si>
  <si>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</si>
  <si>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</si>
  <si>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</si>
  <si>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</si>
  <si>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</si>
  <si>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</si>
  <si>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</si>
  <si>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</si>
  <si>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</si>
  <si>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</si>
  <si>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</si>
  <si>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</si>
  <si>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</si>
  <si>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</si>
  <si>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</si>
  <si>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</si>
  <si>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</si>
  <si>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</si>
  <si>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</si>
  <si>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</si>
  <si>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</si>
  <si>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</si>
  <si>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</si>
  <si>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</si>
  <si>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</si>
  <si>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</si>
  <si>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</si>
  <si>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</si>
  <si>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</si>
  <si>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</si>
  <si>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</si>
  <si>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</si>
  <si>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</si>
  <si>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</si>
  <si>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</si>
  <si>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</si>
  <si>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</si>
  <si>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</si>
  <si>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2025-08-23</t>
  </si>
  <si>
    <t xml:space="preserve">2025-08-25</t>
  </si>
  <si>
    <t xml:space="preserve">2025-08-28</t>
  </si>
  <si>
    <t xml:space="preserve">TOTAL</t>
  </si>
  <si>
    <t xml:space="preserve">TOP CHARGING LOCATIONS</t>
  </si>
  <si>
    <t xml:space="preserve">Location</t>
  </si>
  <si>
    <t xml:space="preserve">5107 Myers Road, Monroe, North Carolina 28110, United States</t>
  </si>
  <si>
    <t xml:space="preserve">6600 Park Crest Court, Lincoln, Nebraska 68506, United States</t>
  </si>
  <si>
    <t xml:space="preserve">2020 Olde Regent Way, Leland, North Carolina 28451, United States</t>
  </si>
  <si>
    <t xml:space="preserve">1831 West Desert Street, Van Horn, Texas 79855, United States</t>
  </si>
  <si>
    <t xml:space="preserve">1272 Towne Centre Boulevard, Provo, Utah 84601, United States</t>
  </si>
  <si>
    <t xml:space="preserve">2717 West David H Mcleod Boulevard, Florence, South Carolina 29501, United States</t>
  </si>
  <si>
    <t xml:space="preserve">2573 North Front Street, Fort Stockton, Texas 79735, United States</t>
  </si>
  <si>
    <t xml:space="preserve">2000 South Marion Road, Sioux Falls, South Dakota 57106, United States</t>
  </si>
  <si>
    <t xml:space="preserve">2201 F.G. Amin St, Truth or Consequences, New Mexico 87901, United States</t>
  </si>
  <si>
    <t xml:space="preserve">I 10, Pass Christian, Mississippi 39503, United States</t>
  </si>
  <si>
    <t xml:space="preserve">Key Insights &amp; Observations</t>
  </si>
  <si>
    <t xml:space="preserve">BATTERY DEGRADATION</t>
  </si>
  <si>
    <t xml:space="preserve">Finding</t>
  </si>
  <si>
    <t xml:space="preserve">Detail</t>
  </si>
  <si>
    <t xml:space="preserve">Implication</t>
  </si>
  <si>
    <t xml:space="preserve">Range at 100% dropped</t>
  </si>
  <si>
    <t xml:space="preserve">287.6 mi (2023) to 271.5 mi (2025)</t>
  </si>
  <si>
    <t xml:space="preserve">~5.6% degradation over ~2 yrs / ~43K mi</t>
  </si>
  <si>
    <t xml:space="preserve">Max charger power dropped</t>
  </si>
  <si>
    <t xml:space="preserve">258 kW to 245 kW</t>
  </si>
  <si>
    <t xml:space="preserve">Normal - power tapers as battery ages</t>
  </si>
  <si>
    <t xml:space="preserve">DATA GAPS</t>
  </si>
  <si>
    <t xml:space="preserve">3.5 month gap</t>
  </si>
  <si>
    <t xml:space="preserve">Feb 15 to Jun 3, 2025</t>
  </si>
  <si>
    <t xml:space="preserve">~6,290 miles untracked (51,756 to 58,046 odo)</t>
  </si>
  <si>
    <t xml:space="preserve">Battery sparse in Playbook</t>
  </si>
  <si>
    <t xml:space="preserve">Only 1,784 rows (Jan-Feb 2025)</t>
  </si>
  <si>
    <t xml:space="preserve">Logging started late or toggled off</t>
  </si>
  <si>
    <t xml:space="preserve">TPMS empty in Playbook</t>
  </si>
  <si>
    <t xml:space="preserve">Headers only, zero data</t>
  </si>
  <si>
    <t xml:space="preserve">Not available in older export</t>
  </si>
  <si>
    <t xml:space="preserve">Schema difference</t>
  </si>
  <si>
    <t xml:space="preserve">Playbook: Battery Level % / Downloads: Usable Battery Level %</t>
  </si>
  <si>
    <t xml:space="preserve">API version change</t>
  </si>
  <si>
    <t xml:space="preserve">TRIP HIGHLIGHTS</t>
  </si>
  <si>
    <t xml:space="preserve">Highest charging day</t>
  </si>
  <si>
    <t xml:space="preserve">Aug 19: 235 kWh, $76.10, 11 sessions</t>
  </si>
  <si>
    <t xml:space="preserve">Big push through final states</t>
  </si>
  <si>
    <t xml:space="preserve">Free charging days</t>
  </si>
  <si>
    <t xml:space="preserve">Multiple $0 days (green in Charging tab)</t>
  </si>
  <si>
    <t xml:space="preserve">Home/destination charging</t>
  </si>
  <si>
    <t xml:space="preserve">Top home base</t>
  </si>
  <si>
    <t xml:space="preserve">Monroe, NC: 212.5 kWh, $0, 25 sessions</t>
  </si>
  <si>
    <t xml:space="preserve">Nana and Pawpaw house</t>
  </si>
  <si>
    <t xml:space="preserve">Battery hit 0%</t>
  </si>
  <si>
    <t xml:space="preserve">Min level = 0% in both datasets</t>
  </si>
  <si>
    <t xml:space="preserve">Ran to empty at least once</t>
  </si>
  <si>
    <t xml:space="preserve">Cabin soak: 72C / 161F</t>
  </si>
  <si>
    <t xml:space="preserve">Max inside temp during road trip</t>
  </si>
  <si>
    <t xml:space="preserve">Texas/summer parking</t>
  </si>
  <si>
    <t xml:space="preserve">USAGE PATTERN SHIFTS</t>
  </si>
  <si>
    <t xml:space="preserve">Locked: 94% to 75%</t>
  </si>
  <si>
    <t xml:space="preserve">Historical vs trip</t>
  </si>
  <si>
    <t xml:space="preserve">Constantly in/out during trip</t>
  </si>
  <si>
    <t xml:space="preserve">Sentry: 86% to 50%</t>
  </si>
  <si>
    <t xml:space="preserve">Less paranoid on the road</t>
  </si>
  <si>
    <t xml:space="preserve">Climate: 8% to 57%</t>
  </si>
  <si>
    <t xml:space="preserve">Summer cross-country = AC always on</t>
  </si>
  <si>
    <t xml:space="preserve">Avg speed: 37 to 46 mph</t>
  </si>
  <si>
    <t xml:space="preserve">More highway during road trip</t>
  </si>
  <si>
    <t xml:space="preserve">Complete File Inventory &amp; Schema</t>
  </si>
  <si>
    <t xml:space="preserve">Dataset</t>
  </si>
  <si>
    <t xml:space="preserve">File</t>
  </si>
  <si>
    <t xml:space="preserve">Rows</t>
  </si>
  <si>
    <t xml:space="preserve">Size</t>
  </si>
  <si>
    <t xml:space="preserve">Columns</t>
  </si>
  <si>
    <t xml:space="preserve">PLAYBOOK</t>
  </si>
  <si>
    <t xml:space="preserve">charging_states.csv</t>
  </si>
  <si>
    <t xml:space="preserve">Mar 2023 - Feb 2025</t>
  </si>
  <si>
    <t xml:space="preserve">~183 MB</t>
  </si>
  <si>
    <t xml:space="preserve">Charging State, Battery %, Range, Charge Rate, Charger Power</t>
  </si>
  <si>
    <t xml:space="preserve">climate_states.csv</t>
  </si>
  <si>
    <t xml:space="preserve">~34 MB</t>
  </si>
  <si>
    <t xml:space="preserve">Climate Enabled, Inside/Outside Temp</t>
  </si>
  <si>
    <t xml:space="preserve">vehicle_states.csv</t>
  </si>
  <si>
    <t xml:space="preserve">~26 MB</t>
  </si>
  <si>
    <t xml:space="preserve">Locked, Sentry Mode</t>
  </si>
  <si>
    <t xml:space="preserve">driving_states.csv</t>
  </si>
  <si>
    <t xml:space="preserve">~11 MB</t>
  </si>
  <si>
    <t xml:space="preserve">Lat, Lon, Shift State, Odometer, Speed</t>
  </si>
  <si>
    <t xml:space="preserve">battery_states.csv</t>
  </si>
  <si>
    <t xml:space="preserve">1,784</t>
  </si>
  <si>
    <t xml:space="preserve">Jan-Feb 2025</t>
  </si>
  <si>
    <t xml:space="preserve">100 KB</t>
  </si>
  <si>
    <t xml:space="preserve">Lifetime Energy, Remaining, Pack V/A, Temps</t>
  </si>
  <si>
    <t xml:space="preserve">tpms_*.csv (x4)</t>
  </si>
  <si>
    <t xml:space="preserve">0</t>
  </si>
  <si>
    <t xml:space="preserve">N/A</t>
  </si>
  <si>
    <t xml:space="preserve">~47 B ea</t>
  </si>
  <si>
    <t xml:space="preserve">Headers only</t>
  </si>
  <si>
    <t xml:space="preserve">DOWNLOADS</t>
  </si>
  <si>
    <t xml:space="preserve">Jun-Jul 2025</t>
  </si>
  <si>
    <t xml:space="preserve">6.8 MB</t>
  </si>
  <si>
    <t xml:space="preserve">Same minus Battery Level %</t>
  </si>
  <si>
    <t xml:space="preserve">7.1 MB</t>
  </si>
  <si>
    <t xml:space="preserve">Same schema</t>
  </si>
  <si>
    <t xml:space="preserve">4.1 MB</t>
  </si>
  <si>
    <t xml:space="preserve">3.0 MB</t>
  </si>
  <si>
    <t xml:space="preserve">2.4 MB</t>
  </si>
  <si>
    <t xml:space="preserve">247-253 ea</t>
  </si>
  <si>
    <t xml:space="preserve">~7.4 KB ea</t>
  </si>
  <si>
    <t xml:space="preserve">Timestamp, Pressure (Bar)</t>
  </si>
  <si>
    <t xml:space="preserve">AWW VIZ</t>
  </si>
  <si>
    <t xml:space="preserve">tesla_summary.json</t>
  </si>
  <si>
    <t xml:space="preserve">Trip aggregate</t>
  </si>
  <si>
    <t xml:space="preserve">196 B</t>
  </si>
  <si>
    <t xml:space="preserve">distance, energy, cost, states, people</t>
  </si>
  <si>
    <t xml:space="preserve">comprehensive_analytics.json</t>
  </si>
  <si>
    <t xml:space="preserve">Full trip</t>
  </si>
  <si>
    <t xml:space="preserve">23 KB</t>
  </si>
  <si>
    <t xml:space="preserve">States, daily charging, phases</t>
  </si>
  <si>
    <t xml:space="preserve">charging_locations.csv</t>
  </si>
  <si>
    <t xml:space="preserve">~500+</t>
  </si>
  <si>
    <t xml:space="preserve">Stops</t>
  </si>
  <si>
    <t xml:space="preserve">51 KB</t>
  </si>
  <si>
    <t xml:space="preserve">Needs iCloud sync</t>
  </si>
  <si>
    <t xml:space="preserve">route_points.csv</t>
  </si>
  <si>
    <t xml:space="preserve">~1K+</t>
  </si>
  <si>
    <t xml:space="preserve">GPS route</t>
  </si>
  <si>
    <t xml:space="preserve">44 KB</t>
  </si>
  <si>
    <t xml:space="preserve">4x HTML dashboards</t>
  </si>
  <si>
    <t xml:space="preserve">Viz</t>
  </si>
  <si>
    <t xml:space="preserve">~15 MB</t>
  </si>
  <si>
    <t xml:space="preserve">route_map, charging, efficiency, dashboard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</si>
</sst>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9E2F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2F7FC"/>
        <bgColor rgb="FFFFFFFF"/>
      </patternFill>
    </fill>
    <fill>
      <patternFill patternType="solid">
        <fgColor rgb="FFD9E2F3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F3"/>
      <rgbColor rgb="FF808080"/>
      <rgbColor rgb="FF9999FF"/>
      <rgbColor rgb="FF7030A0"/>
      <rgbColor rgb="FFFFF2CC"/>
      <rgbColor rgb="FFF2F7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/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A6" s="6" t="s">
        <v>6</v>
      </c>
      <c r="B6" s="6" t="s">
        <v>7</v>
      </c>
      <c r="C6" s="6" t="s">
        <v>8</v>
      </c>
      <c r="D6" s="6" t="s">
        <v>9</v>
      </c>
    </row>
    <row r="7" customFormat="false" ht="15" hidden="false" customHeight="false" outlineLevel="0" collapsed="false">
      <c r="A7" s="6" t="s">
        <v>10</v>
      </c>
      <c r="B7" s="6" t="s">
        <v>11</v>
      </c>
      <c r="C7" s="6" t="s">
        <v>12</v>
      </c>
      <c r="D7" s="6" t="s">
        <v>13</v>
      </c>
    </row>
    <row r="8" customFormat="false" ht="15" hidden="false" customHeight="false" outlineLevel="0" collapsed="false">
      <c r="A8" s="7" t="s">
        <v>14</v>
      </c>
      <c r="B8" s="6"/>
      <c r="C8" s="7" t="s">
        <v>15</v>
      </c>
      <c r="D8" s="6"/>
    </row>
    <row r="9" customFormat="false" ht="15" hidden="false" customHeight="false" outlineLevel="0" collapsed="false">
      <c r="A9" s="6" t="s">
        <v>16</v>
      </c>
      <c r="B9" s="6" t="s">
        <v>17</v>
      </c>
      <c r="C9" s="6" t="s">
        <v>18</v>
      </c>
      <c r="D9" s="6" t="s">
        <v>19</v>
      </c>
    </row>
    <row r="10" customFormat="false" ht="15" hidden="false" customHeight="false" outlineLevel="0" collapsed="false">
      <c r="A10" s="6" t="s">
        <v>20</v>
      </c>
      <c r="B10" s="6" t="s">
        <v>21</v>
      </c>
      <c r="C10" s="6" t="s">
        <v>22</v>
      </c>
      <c r="D10" s="6" t="s">
        <v>23</v>
      </c>
    </row>
    <row r="11" customFormat="false" ht="15" hidden="false" customHeight="false" outlineLevel="0" collapsed="false">
      <c r="A11" s="6" t="s">
        <v>24</v>
      </c>
      <c r="B11" s="7" t="s">
        <v>25</v>
      </c>
      <c r="C11" s="6"/>
      <c r="D11" s="7" t="s">
        <v>26</v>
      </c>
    </row>
    <row r="12" customFormat="false" ht="15" hidden="false" customHeight="false" outlineLevel="0" collapsed="false">
      <c r="A12" s="6"/>
      <c r="B12" s="6"/>
      <c r="C12" s="6"/>
      <c r="D12" s="6"/>
    </row>
    <row r="13" customFormat="false" ht="15" hidden="false" customHeight="false" outlineLevel="0" collapsed="false">
      <c r="A13" s="8" t="s">
        <v>27</v>
      </c>
      <c r="B13" s="8"/>
      <c r="C13" s="8"/>
      <c r="D13" s="8"/>
    </row>
    <row r="14" customFormat="false" ht="15" hidden="false" customHeight="false" outlineLevel="0" collapsed="false">
      <c r="A14" s="6" t="s">
        <v>28</v>
      </c>
      <c r="B14" s="6" t="s">
        <v>29</v>
      </c>
      <c r="C14" s="6" t="s">
        <v>30</v>
      </c>
      <c r="D14" s="6" t="s">
        <v>31</v>
      </c>
    </row>
    <row r="15" customFormat="false" ht="15" hidden="false" customHeight="false" outlineLevel="0" collapsed="false">
      <c r="A15" s="6" t="s">
        <v>32</v>
      </c>
      <c r="B15" s="6" t="s">
        <v>33</v>
      </c>
      <c r="C15" s="6" t="s">
        <v>34</v>
      </c>
      <c r="D15" s="6" t="s">
        <v>35</v>
      </c>
    </row>
    <row r="16" customFormat="false" ht="15" hidden="false" customHeight="false" outlineLevel="0" collapsed="false">
      <c r="A16" s="6" t="s">
        <v>36</v>
      </c>
      <c r="B16" s="6" t="s">
        <v>37</v>
      </c>
      <c r="C16" s="6" t="s">
        <v>30</v>
      </c>
      <c r="D16" s="6" t="s">
        <v>38</v>
      </c>
    </row>
    <row r="17" customFormat="false" ht="15" hidden="false" customHeight="false" outlineLevel="0" collapsed="false">
      <c r="A17" s="6" t="s">
        <v>39</v>
      </c>
      <c r="B17" s="6" t="s">
        <v>40</v>
      </c>
      <c r="C17" s="6" t="s">
        <v>41</v>
      </c>
      <c r="D17" s="6" t="s">
        <v>42</v>
      </c>
    </row>
    <row r="18" customFormat="false" ht="15" hidden="false" customHeight="false" outlineLevel="0" collapsed="false">
      <c r="A18" s="6" t="s">
        <v>43</v>
      </c>
      <c r="B18" s="6" t="s">
        <v>44</v>
      </c>
      <c r="C18" s="6" t="s">
        <v>45</v>
      </c>
      <c r="D18" s="6" t="s">
        <v>46</v>
      </c>
    </row>
    <row r="19" customFormat="false" ht="15" hidden="false" customHeight="false" outlineLevel="0" collapsed="false">
      <c r="A19" s="6" t="s">
        <v>47</v>
      </c>
      <c r="B19" s="6" t="s">
        <v>48</v>
      </c>
      <c r="C19" s="6" t="s">
        <v>49</v>
      </c>
      <c r="D19" s="6" t="s">
        <v>50</v>
      </c>
    </row>
    <row r="20" customFormat="false" ht="15" hidden="false" customHeight="false" outlineLevel="0" collapsed="false">
      <c r="A20" s="6" t="s">
        <v>51</v>
      </c>
      <c r="B20" s="6" t="s">
        <v>52</v>
      </c>
      <c r="C20" s="6" t="s">
        <v>53</v>
      </c>
      <c r="D20" s="6" t="s">
        <v>54</v>
      </c>
    </row>
    <row r="21" customFormat="false" ht="15" hidden="false" customHeight="false" outlineLevel="0" collapsed="false">
      <c r="A21" s="6"/>
      <c r="B21" s="6"/>
      <c r="C21" s="6"/>
      <c r="D21" s="6"/>
    </row>
    <row r="22" customFormat="false" ht="15" hidden="false" customHeight="false" outlineLevel="0" collapsed="false">
      <c r="A22" s="8" t="s">
        <v>55</v>
      </c>
      <c r="B22" s="8"/>
      <c r="C22" s="8"/>
      <c r="D22" s="8"/>
    </row>
    <row r="23" customFormat="false" ht="15" hidden="false" customHeight="false" outlineLevel="0" collapsed="false">
      <c r="A23" s="6" t="s">
        <v>56</v>
      </c>
      <c r="B23" s="6" t="s">
        <v>57</v>
      </c>
      <c r="C23" s="6" t="s">
        <v>58</v>
      </c>
      <c r="D23" s="6" t="s">
        <v>57</v>
      </c>
    </row>
    <row r="24" customFormat="false" ht="15" hidden="false" customHeight="false" outlineLevel="0" collapsed="false">
      <c r="A24" s="6" t="s">
        <v>59</v>
      </c>
      <c r="B24" s="6" t="s">
        <v>60</v>
      </c>
      <c r="C24" s="6" t="s">
        <v>61</v>
      </c>
      <c r="D24" s="6" t="s">
        <v>61</v>
      </c>
    </row>
    <row r="25" customFormat="false" ht="15" hidden="false" customHeight="false" outlineLevel="0" collapsed="false">
      <c r="A25" s="6" t="s">
        <v>62</v>
      </c>
      <c r="B25" s="6" t="s">
        <v>63</v>
      </c>
      <c r="C25" s="6" t="s">
        <v>64</v>
      </c>
      <c r="D25" s="6" t="s">
        <v>63</v>
      </c>
    </row>
    <row r="26" customFormat="false" ht="15" hidden="false" customHeight="false" outlineLevel="0" collapsed="false">
      <c r="A26" s="6" t="s">
        <v>65</v>
      </c>
      <c r="B26" s="6" t="s">
        <v>66</v>
      </c>
      <c r="C26" s="6" t="s">
        <v>67</v>
      </c>
      <c r="D26" s="6" t="s">
        <v>68</v>
      </c>
    </row>
    <row r="27" customFormat="false" ht="15" hidden="false" customHeight="false" outlineLevel="0" collapsed="false">
      <c r="A27" s="6" t="s">
        <v>69</v>
      </c>
      <c r="B27" s="6" t="s">
        <v>70</v>
      </c>
      <c r="C27" s="6" t="s">
        <v>71</v>
      </c>
      <c r="D27" s="6" t="s">
        <v>72</v>
      </c>
    </row>
    <row r="28" customFormat="false" ht="15" hidden="false" customHeight="false" outlineLevel="0" collapsed="false">
      <c r="A28" s="6"/>
      <c r="B28" s="6"/>
      <c r="C28" s="6"/>
      <c r="D28" s="6"/>
    </row>
    <row r="29" customFormat="false" ht="15" hidden="false" customHeight="false" outlineLevel="0" collapsed="false">
      <c r="A29" s="8" t="s">
        <v>73</v>
      </c>
      <c r="B29" s="8"/>
      <c r="C29" s="8"/>
      <c r="D29" s="8"/>
    </row>
    <row r="30" customFormat="false" ht="15" hidden="false" customHeight="false" outlineLevel="0" collapsed="false">
      <c r="A30" s="6" t="s">
        <v>74</v>
      </c>
      <c r="B30" s="6" t="s">
        <v>75</v>
      </c>
      <c r="C30" s="6" t="s">
        <v>76</v>
      </c>
      <c r="D30" s="6" t="s">
        <v>75</v>
      </c>
    </row>
    <row r="31" customFormat="false" ht="15" hidden="false" customHeight="false" outlineLevel="0" collapsed="false">
      <c r="A31" s="6" t="s">
        <v>77</v>
      </c>
      <c r="B31" s="6" t="s">
        <v>78</v>
      </c>
      <c r="C31" s="6" t="s">
        <v>79</v>
      </c>
      <c r="D31" s="6" t="s">
        <v>80</v>
      </c>
    </row>
    <row r="32" customFormat="false" ht="15" hidden="false" customHeight="false" outlineLevel="0" collapsed="false">
      <c r="A32" s="6" t="s">
        <v>81</v>
      </c>
      <c r="B32" s="6" t="s">
        <v>82</v>
      </c>
      <c r="C32" s="6" t="s">
        <v>83</v>
      </c>
      <c r="D32" s="6" t="s">
        <v>84</v>
      </c>
    </row>
    <row r="33" customFormat="false" ht="15" hidden="false" customHeight="false" outlineLevel="0" collapsed="false">
      <c r="A33" s="6"/>
      <c r="B33" s="6"/>
      <c r="C33" s="6"/>
      <c r="D33" s="6"/>
    </row>
    <row r="34" customFormat="false" ht="15" hidden="false" customHeight="false" outlineLevel="0" collapsed="false">
      <c r="A34" s="8" t="s">
        <v>85</v>
      </c>
      <c r="B34" s="8"/>
      <c r="C34" s="8"/>
      <c r="D34" s="8"/>
    </row>
    <row r="35" customFormat="false" ht="15" hidden="false" customHeight="false" outlineLevel="0" collapsed="false">
      <c r="A35" s="6" t="s">
        <v>86</v>
      </c>
      <c r="B35" s="6" t="s">
        <v>87</v>
      </c>
      <c r="C35" s="6" t="s">
        <v>88</v>
      </c>
      <c r="D35" s="6" t="s">
        <v>89</v>
      </c>
    </row>
    <row r="36" customFormat="false" ht="15" hidden="false" customHeight="false" outlineLevel="0" collapsed="false">
      <c r="A36" s="6" t="s">
        <v>90</v>
      </c>
      <c r="B36" s="6" t="s">
        <v>91</v>
      </c>
      <c r="C36" s="6" t="s">
        <v>92</v>
      </c>
      <c r="D36" s="6" t="s">
        <v>93</v>
      </c>
    </row>
    <row r="37" customFormat="false" ht="15" hidden="false" customHeight="false" outlineLevel="0" collapsed="false">
      <c r="A37" s="6" t="s">
        <v>94</v>
      </c>
      <c r="B37" s="6" t="s">
        <v>95</v>
      </c>
      <c r="C37" s="6" t="s">
        <v>96</v>
      </c>
      <c r="D37" s="6" t="s">
        <v>97</v>
      </c>
    </row>
    <row r="38" customFormat="false" ht="15" hidden="false" customHeight="false" outlineLevel="0" collapsed="false">
      <c r="A38" s="6"/>
      <c r="B38" s="6"/>
      <c r="C38" s="6"/>
      <c r="D38" s="6"/>
    </row>
    <row r="39" customFormat="false" ht="15" hidden="false" customHeight="false" outlineLevel="0" collapsed="false">
      <c r="A39" s="8" t="s">
        <v>98</v>
      </c>
      <c r="B39" s="8"/>
      <c r="C39" s="8"/>
      <c r="D39" s="8"/>
    </row>
    <row r="40" customFormat="false" ht="15" hidden="false" customHeight="false" outlineLevel="0" collapsed="false">
      <c r="A40" s="6" t="s">
        <v>99</v>
      </c>
      <c r="B40" s="6" t="s">
        <v>100</v>
      </c>
      <c r="C40" s="6" t="s">
        <v>101</v>
      </c>
      <c r="D40" s="6" t="s">
        <v>102</v>
      </c>
    </row>
    <row r="41" customFormat="false" ht="15" hidden="false" customHeight="false" outlineLevel="0" collapsed="false">
      <c r="A41" s="6" t="s">
        <v>103</v>
      </c>
      <c r="B41" s="6" t="s">
        <v>104</v>
      </c>
      <c r="C41" s="6" t="s">
        <v>105</v>
      </c>
      <c r="D41" s="6" t="s">
        <v>106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41"/>
    <col collapsed="false" customWidth="true" hidden="false" outlineLevel="0" max="5" min="5" style="0" width="29"/>
    <col collapsed="false" customWidth="true" hidden="false" outlineLevel="0" max="6" min="6" style="0" width="32"/>
  </cols>
  <sheetData>
    <row r="1" customFormat="false" ht="19.7" hidden="false" customHeight="false" outlineLevel="0" collapsed="false">
      <c r="A1" s="1" t="s">
        <v>107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108</v>
      </c>
      <c r="B3" s="4"/>
      <c r="C3" s="4"/>
      <c r="D3" s="4"/>
    </row>
    <row r="4" customFormat="false" ht="15" hidden="false" customHeight="false" outlineLevel="0" collapsed="false">
      <c r="A4" s="6" t="s">
        <v>109</v>
      </c>
      <c r="B4" s="9" t="s">
        <v>110</v>
      </c>
    </row>
    <row r="5" customFormat="false" ht="15" hidden="false" customHeight="false" outlineLevel="0" collapsed="false">
      <c r="A5" s="6" t="s">
        <v>111</v>
      </c>
      <c r="B5" s="9" t="s">
        <v>112</v>
      </c>
    </row>
    <row r="6" customFormat="false" ht="15" hidden="false" customHeight="false" outlineLevel="0" collapsed="false">
      <c r="A6" s="6" t="s">
        <v>113</v>
      </c>
      <c r="B6" s="9" t="s">
        <v>114</v>
      </c>
    </row>
    <row r="7" customFormat="false" ht="15" hidden="false" customHeight="false" outlineLevel="0" collapsed="false">
      <c r="A7" s="6" t="s">
        <v>115</v>
      </c>
      <c r="B7" s="9" t="s">
        <v>116</v>
      </c>
    </row>
    <row r="8" customFormat="false" ht="15" hidden="false" customHeight="false" outlineLevel="0" collapsed="false">
      <c r="A8" s="6" t="s">
        <v>117</v>
      </c>
      <c r="B8" s="9" t="s">
        <v>118</v>
      </c>
    </row>
    <row r="9" customFormat="false" ht="15" hidden="false" customHeight="false" outlineLevel="0" collapsed="false">
      <c r="A9" s="6" t="s">
        <v>119</v>
      </c>
      <c r="B9" s="9" t="s">
        <v>120</v>
      </c>
    </row>
    <row r="10" customFormat="false" ht="15" hidden="false" customHeight="false" outlineLevel="0" collapsed="false">
      <c r="A10" s="6" t="s">
        <v>121</v>
      </c>
      <c r="B10" s="9" t="s">
        <v>122</v>
      </c>
    </row>
    <row r="11" customFormat="false" ht="15" hidden="false" customHeight="false" outlineLevel="0" collapsed="false">
      <c r="A11" s="6" t="s">
        <v>123</v>
      </c>
      <c r="B11" s="9" t="s">
        <v>124</v>
      </c>
    </row>
    <row r="12" customFormat="false" ht="15" hidden="false" customHeight="false" outlineLevel="0" collapsed="false">
      <c r="A12" s="6" t="s">
        <v>125</v>
      </c>
      <c r="B12" s="9" t="s">
        <v>126</v>
      </c>
    </row>
    <row r="15" customFormat="false" ht="15" hidden="false" customHeight="false" outlineLevel="0" collapsed="false">
      <c r="A15" s="3" t="s">
        <v>127</v>
      </c>
      <c r="B15" s="4"/>
      <c r="C15" s="4"/>
      <c r="D15" s="4"/>
      <c r="E15" s="4"/>
      <c r="F15" s="4"/>
    </row>
    <row r="16" customFormat="false" ht="15" hidden="false" customHeight="false" outlineLevel="0" collapsed="false">
      <c r="A16" s="10" t="s">
        <v>128</v>
      </c>
      <c r="B16" s="10" t="s">
        <v>129</v>
      </c>
      <c r="C16" s="10" t="s">
        <v>130</v>
      </c>
      <c r="D16" s="10" t="s">
        <v>131</v>
      </c>
      <c r="E16" s="10" t="s">
        <v>132</v>
      </c>
      <c r="F16" s="10" t="s">
        <v>133</v>
      </c>
    </row>
    <row r="17" customFormat="false" ht="15" hidden="false" customHeight="false" outlineLevel="0" collapsed="false">
      <c r="A17" s="11" t="n">
        <v>1</v>
      </c>
      <c r="B17" s="11" t="s">
        <v>134</v>
      </c>
      <c r="C17" s="11" t="s">
        <v>135</v>
      </c>
      <c r="D17" s="11" t="s">
        <v>136</v>
      </c>
      <c r="E17" s="11" t="n">
        <v>1200</v>
      </c>
      <c r="F17" s="11" t="s">
        <v>137</v>
      </c>
    </row>
    <row r="18" customFormat="false" ht="15" hidden="false" customHeight="false" outlineLevel="0" collapsed="false">
      <c r="A18" s="12" t="n">
        <v>2</v>
      </c>
      <c r="B18" s="12" t="s">
        <v>138</v>
      </c>
      <c r="C18" s="12" t="s">
        <v>139</v>
      </c>
      <c r="D18" s="12" t="s">
        <v>140</v>
      </c>
      <c r="E18" s="12" t="n">
        <v>1800</v>
      </c>
      <c r="F18" s="12" t="s">
        <v>141</v>
      </c>
    </row>
    <row r="19" customFormat="false" ht="15" hidden="false" customHeight="false" outlineLevel="0" collapsed="false">
      <c r="A19" s="11" t="n">
        <v>3</v>
      </c>
      <c r="B19" s="11" t="s">
        <v>142</v>
      </c>
      <c r="C19" s="11" t="s">
        <v>143</v>
      </c>
      <c r="D19" s="11" t="s">
        <v>144</v>
      </c>
      <c r="E19" s="11" t="n">
        <v>2200</v>
      </c>
      <c r="F19" s="11" t="s">
        <v>145</v>
      </c>
    </row>
    <row r="20" customFormat="false" ht="15" hidden="false" customHeight="false" outlineLevel="0" collapsed="false">
      <c r="A20" s="12" t="n">
        <v>4</v>
      </c>
      <c r="B20" s="12" t="s">
        <v>146</v>
      </c>
      <c r="C20" s="12" t="s">
        <v>147</v>
      </c>
      <c r="D20" s="12" t="s">
        <v>148</v>
      </c>
      <c r="E20" s="12" t="n">
        <v>1200</v>
      </c>
      <c r="F20" s="12" t="s">
        <v>149</v>
      </c>
    </row>
    <row r="21" customFormat="false" ht="15" hidden="false" customHeight="false" outlineLevel="0" collapsed="false">
      <c r="A21" s="11" t="n">
        <v>5</v>
      </c>
      <c r="B21" s="11" t="s">
        <v>150</v>
      </c>
      <c r="C21" s="11" t="s">
        <v>151</v>
      </c>
      <c r="D21" s="11" t="s">
        <v>152</v>
      </c>
      <c r="E21" s="11" t="n">
        <v>1800</v>
      </c>
      <c r="F21" s="11" t="s">
        <v>153</v>
      </c>
    </row>
    <row r="22" customFormat="false" ht="15" hidden="false" customHeight="false" outlineLevel="0" collapsed="false">
      <c r="A22" s="12" t="n">
        <v>6</v>
      </c>
      <c r="B22" s="12" t="s">
        <v>154</v>
      </c>
      <c r="C22" s="12" t="s">
        <v>155</v>
      </c>
      <c r="D22" s="12" t="s">
        <v>156</v>
      </c>
      <c r="E22" s="12" t="n">
        <v>1400</v>
      </c>
      <c r="F22" s="12" t="s">
        <v>157</v>
      </c>
    </row>
    <row r="25" customFormat="false" ht="15" hidden="false" customHeight="false" outlineLevel="0" collapsed="false">
      <c r="A25" s="3" t="s">
        <v>158</v>
      </c>
      <c r="B25" s="4"/>
      <c r="C25" s="4"/>
      <c r="D25" s="4"/>
      <c r="E25" s="4"/>
    </row>
    <row r="26" customFormat="false" ht="15" hidden="false" customHeight="false" outlineLevel="0" collapsed="false">
      <c r="A26" s="10" t="s">
        <v>159</v>
      </c>
      <c r="B26" s="10" t="s">
        <v>160</v>
      </c>
      <c r="C26" s="10" t="s">
        <v>161</v>
      </c>
      <c r="D26" s="10" t="s">
        <v>130</v>
      </c>
      <c r="E26" s="10" t="s">
        <v>125</v>
      </c>
    </row>
    <row r="27" customFormat="false" ht="15" hidden="false" customHeight="false" outlineLevel="0" collapsed="false">
      <c r="A27" s="11" t="s">
        <v>162</v>
      </c>
      <c r="B27" s="11" t="n">
        <v>4</v>
      </c>
      <c r="C27" s="11" t="s">
        <v>163</v>
      </c>
      <c r="D27" s="11" t="s">
        <v>164</v>
      </c>
      <c r="E27" s="11"/>
    </row>
    <row r="28" customFormat="false" ht="15" hidden="false" customHeight="false" outlineLevel="0" collapsed="false">
      <c r="A28" s="12" t="s">
        <v>165</v>
      </c>
      <c r="B28" s="12" t="n">
        <v>2</v>
      </c>
      <c r="C28" s="12" t="s">
        <v>166</v>
      </c>
      <c r="D28" s="12" t="s">
        <v>167</v>
      </c>
      <c r="E28" s="12"/>
    </row>
    <row r="29" customFormat="false" ht="15" hidden="false" customHeight="false" outlineLevel="0" collapsed="false">
      <c r="A29" s="11" t="s">
        <v>168</v>
      </c>
      <c r="B29" s="11" t="n">
        <v>1</v>
      </c>
      <c r="C29" s="11" t="s">
        <v>169</v>
      </c>
      <c r="D29" s="11" t="s">
        <v>170</v>
      </c>
      <c r="E29" s="11"/>
    </row>
    <row r="30" customFormat="false" ht="15" hidden="false" customHeight="false" outlineLevel="0" collapsed="false">
      <c r="A30" s="12" t="s">
        <v>171</v>
      </c>
      <c r="B30" s="12" t="n">
        <v>4</v>
      </c>
      <c r="C30" s="12" t="s">
        <v>172</v>
      </c>
      <c r="D30" s="12" t="s">
        <v>173</v>
      </c>
      <c r="E30" s="12" t="s">
        <v>174</v>
      </c>
    </row>
    <row r="31" customFormat="false" ht="15" hidden="false" customHeight="false" outlineLevel="0" collapsed="false">
      <c r="A31" s="11" t="s">
        <v>175</v>
      </c>
      <c r="B31" s="11" t="n">
        <v>1</v>
      </c>
      <c r="C31" s="11" t="s">
        <v>176</v>
      </c>
      <c r="D31" s="11" t="s">
        <v>177</v>
      </c>
      <c r="E31" s="11"/>
    </row>
    <row r="32" customFormat="false" ht="15" hidden="false" customHeight="false" outlineLevel="0" collapsed="false">
      <c r="A32" s="12" t="s">
        <v>178</v>
      </c>
      <c r="B32" s="12" t="n">
        <v>2</v>
      </c>
      <c r="C32" s="12" t="s">
        <v>179</v>
      </c>
      <c r="D32" s="12" t="s">
        <v>180</v>
      </c>
      <c r="E32" s="12" t="s">
        <v>181</v>
      </c>
    </row>
    <row r="33" customFormat="false" ht="15" hidden="false" customHeight="false" outlineLevel="0" collapsed="false">
      <c r="A33" s="11" t="s">
        <v>182</v>
      </c>
      <c r="B33" s="11" t="n">
        <v>1</v>
      </c>
      <c r="C33" s="11" t="s">
        <v>183</v>
      </c>
      <c r="D33" s="11" t="s">
        <v>184</v>
      </c>
      <c r="E33" s="11"/>
    </row>
    <row r="34" customFormat="false" ht="15" hidden="false" customHeight="false" outlineLevel="0" collapsed="false">
      <c r="A34" s="12" t="s">
        <v>185</v>
      </c>
      <c r="B34" s="12" t="n">
        <v>2</v>
      </c>
      <c r="C34" s="12" t="s">
        <v>186</v>
      </c>
      <c r="D34" s="12" t="s">
        <v>187</v>
      </c>
      <c r="E34" s="12" t="s">
        <v>188</v>
      </c>
    </row>
    <row r="35" customFormat="false" ht="15" hidden="false" customHeight="false" outlineLevel="0" collapsed="false">
      <c r="A35" s="11" t="s">
        <v>189</v>
      </c>
      <c r="B35" s="11" t="n">
        <v>1</v>
      </c>
      <c r="C35" s="11" t="s">
        <v>190</v>
      </c>
      <c r="D35" s="11" t="s">
        <v>191</v>
      </c>
      <c r="E35" s="11"/>
    </row>
    <row r="36" customFormat="false" ht="15" hidden="false" customHeight="false" outlineLevel="0" collapsed="false">
      <c r="A36" s="12" t="s">
        <v>192</v>
      </c>
      <c r="B36" s="12" t="n">
        <v>1</v>
      </c>
      <c r="C36" s="12" t="s">
        <v>193</v>
      </c>
      <c r="D36" s="12" t="s">
        <v>194</v>
      </c>
      <c r="E36" s="12"/>
    </row>
    <row r="37" customFormat="false" ht="15" hidden="false" customHeight="false" outlineLevel="0" collapsed="false">
      <c r="A37" s="11" t="s">
        <v>195</v>
      </c>
      <c r="B37" s="11" t="n">
        <v>1</v>
      </c>
      <c r="C37" s="11" t="s">
        <v>196</v>
      </c>
      <c r="D37" s="11" t="s">
        <v>197</v>
      </c>
      <c r="E37" s="11" t="s">
        <v>198</v>
      </c>
    </row>
    <row r="38" customFormat="false" ht="15" hidden="false" customHeight="false" outlineLevel="0" collapsed="false">
      <c r="A38" s="12" t="s">
        <v>199</v>
      </c>
      <c r="B38" s="12" t="n">
        <v>1</v>
      </c>
      <c r="C38" s="12" t="s">
        <v>200</v>
      </c>
      <c r="D38" s="12" t="s">
        <v>201</v>
      </c>
      <c r="E38" s="12"/>
    </row>
    <row r="39" customFormat="false" ht="15" hidden="false" customHeight="false" outlineLevel="0" collapsed="false">
      <c r="A39" s="11" t="s">
        <v>202</v>
      </c>
      <c r="B39" s="11" t="n">
        <v>1</v>
      </c>
      <c r="C39" s="11" t="s">
        <v>203</v>
      </c>
      <c r="D39" s="11" t="s">
        <v>204</v>
      </c>
      <c r="E39" s="11"/>
    </row>
    <row r="40" customFormat="false" ht="15" hidden="false" customHeight="false" outlineLevel="0" collapsed="false">
      <c r="A40" s="12" t="s">
        <v>205</v>
      </c>
      <c r="B40" s="12" t="n">
        <v>1</v>
      </c>
      <c r="C40" s="12" t="s">
        <v>206</v>
      </c>
      <c r="D40" s="12" t="s">
        <v>207</v>
      </c>
      <c r="E40" s="12"/>
    </row>
    <row r="41" customFormat="false" ht="15" hidden="false" customHeight="false" outlineLevel="0" collapsed="false">
      <c r="A41" s="11" t="s">
        <v>208</v>
      </c>
      <c r="B41" s="11" t="n">
        <v>1</v>
      </c>
      <c r="C41" s="11" t="s">
        <v>209</v>
      </c>
      <c r="D41" s="11" t="s">
        <v>210</v>
      </c>
      <c r="E41" s="11"/>
    </row>
    <row r="42" customFormat="false" ht="15" hidden="false" customHeight="false" outlineLevel="0" collapsed="false">
      <c r="A42" s="12" t="s">
        <v>211</v>
      </c>
      <c r="B42" s="12" t="n">
        <v>2</v>
      </c>
      <c r="C42" s="12" t="s">
        <v>212</v>
      </c>
      <c r="D42" s="12" t="s">
        <v>213</v>
      </c>
      <c r="E42" s="12"/>
    </row>
    <row r="43" customFormat="false" ht="15" hidden="false" customHeight="false" outlineLevel="0" collapsed="false">
      <c r="A43" s="11" t="s">
        <v>214</v>
      </c>
      <c r="B43" s="11" t="n">
        <v>1</v>
      </c>
      <c r="C43" s="11" t="s">
        <v>215</v>
      </c>
      <c r="D43" s="11" t="s">
        <v>216</v>
      </c>
      <c r="E43" s="11"/>
    </row>
    <row r="44" customFormat="false" ht="15" hidden="false" customHeight="false" outlineLevel="0" collapsed="false">
      <c r="A44" s="12" t="s">
        <v>217</v>
      </c>
      <c r="B44" s="12" t="n">
        <v>1</v>
      </c>
      <c r="C44" s="12" t="s">
        <v>218</v>
      </c>
      <c r="D44" s="12" t="s">
        <v>219</v>
      </c>
      <c r="E44" s="12"/>
    </row>
    <row r="45" customFormat="false" ht="15" hidden="false" customHeight="false" outlineLevel="0" collapsed="false">
      <c r="A45" s="11" t="s">
        <v>220</v>
      </c>
      <c r="B45" s="11" t="n">
        <v>1</v>
      </c>
      <c r="C45" s="11" t="s">
        <v>221</v>
      </c>
      <c r="D45" s="11" t="s">
        <v>222</v>
      </c>
      <c r="E45" s="11"/>
    </row>
    <row r="46" customFormat="false" ht="15" hidden="false" customHeight="false" outlineLevel="0" collapsed="false">
      <c r="A46" s="12" t="s">
        <v>223</v>
      </c>
      <c r="B46" s="12" t="n">
        <v>1</v>
      </c>
      <c r="C46" s="12" t="s">
        <v>224</v>
      </c>
      <c r="D46" s="12" t="s">
        <v>225</v>
      </c>
      <c r="E46" s="12"/>
    </row>
    <row r="47" customFormat="false" ht="15" hidden="false" customHeight="false" outlineLevel="0" collapsed="false">
      <c r="A47" s="11" t="s">
        <v>226</v>
      </c>
      <c r="B47" s="11" t="n">
        <v>1</v>
      </c>
      <c r="C47" s="11" t="s">
        <v>227</v>
      </c>
      <c r="D47" s="11" t="s">
        <v>228</v>
      </c>
      <c r="E47" s="11"/>
    </row>
    <row r="48" customFormat="false" ht="15" hidden="false" customHeight="false" outlineLevel="0" collapsed="false">
      <c r="A48" s="12" t="s">
        <v>229</v>
      </c>
      <c r="B48" s="12" t="n">
        <v>1</v>
      </c>
      <c r="C48" s="12" t="s">
        <v>230</v>
      </c>
      <c r="D48" s="12" t="s">
        <v>231</v>
      </c>
      <c r="E48" s="12" t="s">
        <v>232</v>
      </c>
    </row>
    <row r="49" customFormat="false" ht="15" hidden="false" customHeight="false" outlineLevel="0" collapsed="false">
      <c r="A49" s="11" t="s">
        <v>233</v>
      </c>
      <c r="B49" s="11" t="n">
        <v>1</v>
      </c>
      <c r="C49" s="11" t="s">
        <v>234</v>
      </c>
      <c r="D49" s="11" t="s">
        <v>235</v>
      </c>
      <c r="E49" s="11"/>
    </row>
    <row r="50" customFormat="false" ht="15" hidden="false" customHeight="false" outlineLevel="0" collapsed="false">
      <c r="A50" s="12" t="s">
        <v>236</v>
      </c>
      <c r="B50" s="12" t="n">
        <v>1</v>
      </c>
      <c r="C50" s="12" t="s">
        <v>237</v>
      </c>
      <c r="D50" s="12" t="s">
        <v>238</v>
      </c>
      <c r="E50" s="12"/>
    </row>
    <row r="51" customFormat="false" ht="15" hidden="false" customHeight="false" outlineLevel="0" collapsed="false">
      <c r="A51" s="11" t="s">
        <v>239</v>
      </c>
      <c r="B51" s="11" t="n">
        <v>1</v>
      </c>
      <c r="C51" s="11" t="s">
        <v>240</v>
      </c>
      <c r="D51" s="11" t="s">
        <v>241</v>
      </c>
      <c r="E51" s="11"/>
    </row>
    <row r="52" customFormat="false" ht="15" hidden="false" customHeight="false" outlineLevel="0" collapsed="false">
      <c r="A52" s="12" t="s">
        <v>242</v>
      </c>
      <c r="B52" s="12" t="n">
        <v>2</v>
      </c>
      <c r="C52" s="12" t="s">
        <v>243</v>
      </c>
      <c r="D52" s="12" t="s">
        <v>244</v>
      </c>
      <c r="E52" s="12"/>
    </row>
    <row r="53" customFormat="false" ht="15" hidden="false" customHeight="false" outlineLevel="0" collapsed="false">
      <c r="A53" s="11" t="s">
        <v>245</v>
      </c>
      <c r="B53" s="11" t="n">
        <v>1</v>
      </c>
      <c r="C53" s="11" t="s">
        <v>246</v>
      </c>
      <c r="D53" s="11" t="s">
        <v>247</v>
      </c>
      <c r="E53" s="11"/>
    </row>
    <row r="54" customFormat="false" ht="15" hidden="false" customHeight="false" outlineLevel="0" collapsed="false">
      <c r="A54" s="12" t="s">
        <v>248</v>
      </c>
      <c r="B54" s="12" t="n">
        <v>2</v>
      </c>
      <c r="C54" s="12" t="s">
        <v>249</v>
      </c>
      <c r="D54" s="12" t="s">
        <v>250</v>
      </c>
      <c r="E54" s="12" t="s">
        <v>251</v>
      </c>
    </row>
    <row r="55" customFormat="false" ht="15" hidden="false" customHeight="false" outlineLevel="0" collapsed="false">
      <c r="A55" s="11" t="s">
        <v>252</v>
      </c>
      <c r="B55" s="11" t="n">
        <v>2</v>
      </c>
      <c r="C55" s="11" t="s">
        <v>253</v>
      </c>
      <c r="D55" s="11" t="s">
        <v>254</v>
      </c>
      <c r="E55" s="11" t="s">
        <v>255</v>
      </c>
    </row>
    <row r="56" customFormat="false" ht="15" hidden="false" customHeight="false" outlineLevel="0" collapsed="false">
      <c r="A56" s="12" t="s">
        <v>256</v>
      </c>
      <c r="B56" s="12" t="n">
        <v>2</v>
      </c>
      <c r="C56" s="12" t="s">
        <v>257</v>
      </c>
      <c r="D56" s="12" t="s">
        <v>258</v>
      </c>
      <c r="E56" s="12" t="s">
        <v>259</v>
      </c>
    </row>
    <row r="57" customFormat="false" ht="15" hidden="false" customHeight="false" outlineLevel="0" collapsed="false">
      <c r="A57" s="11" t="s">
        <v>260</v>
      </c>
      <c r="B57" s="11" t="n">
        <v>1</v>
      </c>
      <c r="C57" s="11" t="s">
        <v>261</v>
      </c>
      <c r="D57" s="11" t="s">
        <v>262</v>
      </c>
      <c r="E57" s="11"/>
    </row>
    <row r="58" customFormat="false" ht="15" hidden="false" customHeight="false" outlineLevel="0" collapsed="false">
      <c r="A58" s="12" t="s">
        <v>263</v>
      </c>
      <c r="B58" s="12" t="n">
        <v>1</v>
      </c>
      <c r="C58" s="12" t="s">
        <v>264</v>
      </c>
      <c r="D58" s="12" t="s">
        <v>265</v>
      </c>
      <c r="E58" s="12"/>
    </row>
    <row r="59" customFormat="false" ht="15" hidden="false" customHeight="false" outlineLevel="0" collapsed="false">
      <c r="A59" s="11" t="s">
        <v>266</v>
      </c>
      <c r="B59" s="11" t="n">
        <v>1</v>
      </c>
      <c r="C59" s="11" t="s">
        <v>267</v>
      </c>
      <c r="D59" s="11" t="s">
        <v>268</v>
      </c>
      <c r="E59" s="11"/>
    </row>
    <row r="60" customFormat="false" ht="15" hidden="false" customHeight="false" outlineLevel="0" collapsed="false">
      <c r="A60" s="12" t="s">
        <v>269</v>
      </c>
      <c r="B60" s="12" t="n">
        <v>1</v>
      </c>
      <c r="C60" s="12" t="s">
        <v>270</v>
      </c>
      <c r="D60" s="12" t="s">
        <v>271</v>
      </c>
      <c r="E60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5"/>
    <col collapsed="false" customWidth="true" hidden="false" outlineLevel="0" max="5" min="4" style="0" width="17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272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0" t="s">
        <v>273</v>
      </c>
      <c r="B3" s="10" t="s">
        <v>274</v>
      </c>
      <c r="C3" s="10" t="s">
        <v>275</v>
      </c>
      <c r="D3" s="10" t="s">
        <v>276</v>
      </c>
      <c r="E3" s="10" t="s">
        <v>277</v>
      </c>
      <c r="F3" s="10" t="s">
        <v>278</v>
      </c>
    </row>
    <row r="4" customFormat="false" ht="15" hidden="false" customHeight="false" outlineLevel="0" collapsed="false">
      <c r="A4" s="11" t="s">
        <v>279</v>
      </c>
      <c r="B4" s="13" t="n">
        <v>210.8</v>
      </c>
      <c r="C4" s="14" t="n">
        <v>63.67</v>
      </c>
      <c r="D4" s="11" t="n">
        <v>189</v>
      </c>
      <c r="E4" s="11" t="n">
        <v>5</v>
      </c>
      <c r="F4" s="14" t="n">
        <v>0.3</v>
      </c>
    </row>
    <row r="5" customFormat="false" ht="15" hidden="false" customHeight="false" outlineLevel="0" collapsed="false">
      <c r="A5" s="12" t="s">
        <v>280</v>
      </c>
      <c r="B5" s="15" t="n">
        <v>117.1</v>
      </c>
      <c r="C5" s="16" t="n">
        <v>36.22</v>
      </c>
      <c r="D5" s="12" t="n">
        <v>158</v>
      </c>
      <c r="E5" s="12" t="n">
        <v>5</v>
      </c>
      <c r="F5" s="16" t="n">
        <v>0.31</v>
      </c>
    </row>
    <row r="6" customFormat="false" ht="15" hidden="false" customHeight="false" outlineLevel="0" collapsed="false">
      <c r="A6" s="11" t="s">
        <v>281</v>
      </c>
      <c r="B6" s="13" t="n">
        <v>67</v>
      </c>
      <c r="C6" s="14" t="n">
        <v>23.49</v>
      </c>
      <c r="D6" s="11" t="n">
        <v>148</v>
      </c>
      <c r="E6" s="11" t="n">
        <v>5</v>
      </c>
      <c r="F6" s="14" t="n">
        <v>0.35</v>
      </c>
    </row>
    <row r="7" customFormat="false" ht="15" hidden="false" customHeight="false" outlineLevel="0" collapsed="false">
      <c r="A7" s="12" t="s">
        <v>282</v>
      </c>
      <c r="B7" s="15" t="n">
        <v>104.2</v>
      </c>
      <c r="C7" s="16" t="n">
        <v>36.11</v>
      </c>
      <c r="D7" s="12" t="n">
        <v>76</v>
      </c>
      <c r="E7" s="12" t="n">
        <v>6</v>
      </c>
      <c r="F7" s="16" t="n">
        <v>0.35</v>
      </c>
    </row>
    <row r="8" customFormat="false" ht="15" hidden="false" customHeight="false" outlineLevel="0" collapsed="false">
      <c r="A8" s="11" t="s">
        <v>283</v>
      </c>
      <c r="B8" s="13" t="n">
        <v>107</v>
      </c>
      <c r="C8" s="14" t="n">
        <v>30.32</v>
      </c>
      <c r="D8" s="11" t="n">
        <v>126</v>
      </c>
      <c r="E8" s="11" t="n">
        <v>4</v>
      </c>
      <c r="F8" s="14" t="n">
        <v>0.28</v>
      </c>
    </row>
    <row r="9" customFormat="false" ht="15" hidden="false" customHeight="false" outlineLevel="0" collapsed="false">
      <c r="A9" s="12" t="s">
        <v>284</v>
      </c>
      <c r="B9" s="15" t="n">
        <v>186.4</v>
      </c>
      <c r="C9" s="16" t="n">
        <v>67.78</v>
      </c>
      <c r="D9" s="12" t="n">
        <v>449</v>
      </c>
      <c r="E9" s="12" t="n">
        <v>6</v>
      </c>
      <c r="F9" s="16" t="n">
        <v>0.36</v>
      </c>
    </row>
    <row r="10" customFormat="false" ht="15" hidden="false" customHeight="false" outlineLevel="0" collapsed="false">
      <c r="A10" s="11" t="s">
        <v>285</v>
      </c>
      <c r="B10" s="13" t="n">
        <v>155.4</v>
      </c>
      <c r="C10" s="14" t="n">
        <v>72.93</v>
      </c>
      <c r="D10" s="11" t="n">
        <v>141</v>
      </c>
      <c r="E10" s="11" t="n">
        <v>4</v>
      </c>
      <c r="F10" s="14" t="n">
        <v>0.47</v>
      </c>
    </row>
    <row r="11" customFormat="false" ht="15" hidden="false" customHeight="false" outlineLevel="0" collapsed="false">
      <c r="A11" s="17" t="s">
        <v>286</v>
      </c>
      <c r="B11" s="18" t="n">
        <v>51.1</v>
      </c>
      <c r="C11" s="19" t="n">
        <v>0</v>
      </c>
      <c r="D11" s="17" t="n">
        <v>472</v>
      </c>
      <c r="E11" s="17" t="n">
        <v>3</v>
      </c>
      <c r="F11" s="19" t="n">
        <v>0</v>
      </c>
    </row>
    <row r="12" customFormat="false" ht="15" hidden="false" customHeight="false" outlineLevel="0" collapsed="false">
      <c r="A12" s="11" t="s">
        <v>287</v>
      </c>
      <c r="B12" s="13" t="n">
        <v>106.4</v>
      </c>
      <c r="C12" s="14" t="n">
        <v>38.31</v>
      </c>
      <c r="D12" s="11" t="n">
        <v>101</v>
      </c>
      <c r="E12" s="11" t="n">
        <v>4</v>
      </c>
      <c r="F12" s="14" t="n">
        <v>0.36</v>
      </c>
    </row>
    <row r="13" customFormat="false" ht="15" hidden="false" customHeight="false" outlineLevel="0" collapsed="false">
      <c r="A13" s="12" t="s">
        <v>288</v>
      </c>
      <c r="B13" s="15" t="n">
        <v>56.8</v>
      </c>
      <c r="C13" s="16" t="n">
        <v>28.89</v>
      </c>
      <c r="D13" s="12" t="n">
        <v>33</v>
      </c>
      <c r="E13" s="12" t="n">
        <v>2</v>
      </c>
      <c r="F13" s="16" t="n">
        <v>0.51</v>
      </c>
    </row>
    <row r="14" customFormat="false" ht="15" hidden="false" customHeight="false" outlineLevel="0" collapsed="false">
      <c r="A14" s="11" t="s">
        <v>289</v>
      </c>
      <c r="B14" s="13" t="n">
        <v>103.7</v>
      </c>
      <c r="C14" s="14" t="n">
        <v>49.96</v>
      </c>
      <c r="D14" s="11" t="n">
        <v>67</v>
      </c>
      <c r="E14" s="11" t="n">
        <v>4</v>
      </c>
      <c r="F14" s="14" t="n">
        <v>0.48</v>
      </c>
    </row>
    <row r="15" customFormat="false" ht="15" hidden="false" customHeight="false" outlineLevel="0" collapsed="false">
      <c r="A15" s="12" t="s">
        <v>290</v>
      </c>
      <c r="B15" s="15" t="n">
        <v>51.2</v>
      </c>
      <c r="C15" s="16" t="n">
        <v>27.75</v>
      </c>
      <c r="D15" s="12" t="n">
        <v>44</v>
      </c>
      <c r="E15" s="12" t="n">
        <v>1</v>
      </c>
      <c r="F15" s="16" t="n">
        <v>0.54</v>
      </c>
    </row>
    <row r="16" customFormat="false" ht="15" hidden="false" customHeight="false" outlineLevel="0" collapsed="false">
      <c r="A16" s="11" t="s">
        <v>291</v>
      </c>
      <c r="B16" s="13" t="n">
        <v>133.4</v>
      </c>
      <c r="C16" s="14" t="n">
        <v>70.05</v>
      </c>
      <c r="D16" s="11" t="n">
        <v>390</v>
      </c>
      <c r="E16" s="11" t="n">
        <v>8</v>
      </c>
      <c r="F16" s="14" t="n">
        <v>0.53</v>
      </c>
    </row>
    <row r="17" customFormat="false" ht="15" hidden="false" customHeight="false" outlineLevel="0" collapsed="false">
      <c r="A17" s="12" t="s">
        <v>292</v>
      </c>
      <c r="B17" s="15" t="n">
        <v>120.8</v>
      </c>
      <c r="C17" s="16" t="n">
        <v>47.13</v>
      </c>
      <c r="D17" s="12" t="n">
        <v>113</v>
      </c>
      <c r="E17" s="12" t="n">
        <v>3</v>
      </c>
      <c r="F17" s="16" t="n">
        <v>0.39</v>
      </c>
    </row>
    <row r="18" customFormat="false" ht="15" hidden="false" customHeight="false" outlineLevel="0" collapsed="false">
      <c r="A18" s="11" t="s">
        <v>293</v>
      </c>
      <c r="B18" s="13" t="n">
        <v>109.5</v>
      </c>
      <c r="C18" s="14" t="n">
        <v>46.23</v>
      </c>
      <c r="D18" s="11" t="n">
        <v>99</v>
      </c>
      <c r="E18" s="11" t="n">
        <v>4</v>
      </c>
      <c r="F18" s="14" t="n">
        <v>0.42</v>
      </c>
    </row>
    <row r="19" customFormat="false" ht="15" hidden="false" customHeight="false" outlineLevel="0" collapsed="false">
      <c r="A19" s="12" t="s">
        <v>294</v>
      </c>
      <c r="B19" s="15" t="n">
        <v>73.4</v>
      </c>
      <c r="C19" s="16" t="n">
        <v>33.06</v>
      </c>
      <c r="D19" s="12" t="n">
        <v>83</v>
      </c>
      <c r="E19" s="12" t="n">
        <v>2</v>
      </c>
      <c r="F19" s="16" t="n">
        <v>0.45</v>
      </c>
    </row>
    <row r="20" customFormat="false" ht="15" hidden="false" customHeight="false" outlineLevel="0" collapsed="false">
      <c r="A20" s="11" t="s">
        <v>295</v>
      </c>
      <c r="B20" s="13" t="n">
        <v>33.5</v>
      </c>
      <c r="C20" s="14" t="n">
        <v>16.41</v>
      </c>
      <c r="D20" s="11" t="n">
        <v>17</v>
      </c>
      <c r="E20" s="11" t="n">
        <v>1</v>
      </c>
      <c r="F20" s="14" t="n">
        <v>0.49</v>
      </c>
    </row>
    <row r="21" customFormat="false" ht="15" hidden="false" customHeight="false" outlineLevel="0" collapsed="false">
      <c r="A21" s="12" t="s">
        <v>296</v>
      </c>
      <c r="B21" s="15" t="n">
        <v>73.3</v>
      </c>
      <c r="C21" s="16" t="n">
        <v>27.6</v>
      </c>
      <c r="D21" s="12" t="n">
        <v>49</v>
      </c>
      <c r="E21" s="12" t="n">
        <v>2</v>
      </c>
      <c r="F21" s="16" t="n">
        <v>0.38</v>
      </c>
    </row>
    <row r="22" customFormat="false" ht="15" hidden="false" customHeight="false" outlineLevel="0" collapsed="false">
      <c r="A22" s="11" t="s">
        <v>297</v>
      </c>
      <c r="B22" s="13" t="n">
        <v>179.6</v>
      </c>
      <c r="C22" s="14" t="n">
        <v>71.67</v>
      </c>
      <c r="D22" s="11" t="n">
        <v>143</v>
      </c>
      <c r="E22" s="11" t="n">
        <v>6</v>
      </c>
      <c r="F22" s="14" t="n">
        <v>0.4</v>
      </c>
    </row>
    <row r="23" customFormat="false" ht="15" hidden="false" customHeight="false" outlineLevel="0" collapsed="false">
      <c r="A23" s="12" t="s">
        <v>298</v>
      </c>
      <c r="B23" s="15" t="n">
        <v>94.2</v>
      </c>
      <c r="C23" s="16" t="n">
        <v>37.56</v>
      </c>
      <c r="D23" s="12" t="n">
        <v>65</v>
      </c>
      <c r="E23" s="12" t="n">
        <v>4</v>
      </c>
      <c r="F23" s="16" t="n">
        <v>0.4</v>
      </c>
    </row>
    <row r="24" customFormat="false" ht="15" hidden="false" customHeight="false" outlineLevel="0" collapsed="false">
      <c r="A24" s="11" t="s">
        <v>299</v>
      </c>
      <c r="B24" s="13" t="n">
        <v>168.3</v>
      </c>
      <c r="C24" s="14" t="n">
        <v>61.85</v>
      </c>
      <c r="D24" s="11" t="n">
        <v>180</v>
      </c>
      <c r="E24" s="11" t="n">
        <v>5</v>
      </c>
      <c r="F24" s="14" t="n">
        <v>0.37</v>
      </c>
    </row>
    <row r="25" customFormat="false" ht="15" hidden="false" customHeight="false" outlineLevel="0" collapsed="false">
      <c r="A25" s="17" t="s">
        <v>300</v>
      </c>
      <c r="B25" s="18" t="n">
        <v>17.5</v>
      </c>
      <c r="C25" s="19" t="n">
        <v>0</v>
      </c>
      <c r="D25" s="17" t="n">
        <v>612</v>
      </c>
      <c r="E25" s="17" t="n">
        <v>4</v>
      </c>
      <c r="F25" s="19" t="n">
        <v>0</v>
      </c>
    </row>
    <row r="26" customFormat="false" ht="15" hidden="false" customHeight="false" outlineLevel="0" collapsed="false">
      <c r="A26" s="11" t="s">
        <v>301</v>
      </c>
      <c r="B26" s="13" t="n">
        <v>125.9</v>
      </c>
      <c r="C26" s="14" t="n">
        <v>33.97</v>
      </c>
      <c r="D26" s="11" t="n">
        <v>498</v>
      </c>
      <c r="E26" s="11" t="n">
        <v>6</v>
      </c>
      <c r="F26" s="14" t="n">
        <v>0.27</v>
      </c>
    </row>
    <row r="27" customFormat="false" ht="15" hidden="false" customHeight="false" outlineLevel="0" collapsed="false">
      <c r="A27" s="12" t="s">
        <v>302</v>
      </c>
      <c r="B27" s="15" t="n">
        <v>129.8</v>
      </c>
      <c r="C27" s="16" t="n">
        <v>48.11</v>
      </c>
      <c r="D27" s="12" t="n">
        <v>82</v>
      </c>
      <c r="E27" s="12" t="n">
        <v>4</v>
      </c>
      <c r="F27" s="16" t="n">
        <v>0.37</v>
      </c>
    </row>
    <row r="28" customFormat="false" ht="15" hidden="false" customHeight="false" outlineLevel="0" collapsed="false">
      <c r="A28" s="11" t="s">
        <v>303</v>
      </c>
      <c r="B28" s="13" t="n">
        <v>47.1</v>
      </c>
      <c r="C28" s="14" t="n">
        <v>18.16</v>
      </c>
      <c r="D28" s="11" t="n">
        <v>32</v>
      </c>
      <c r="E28" s="11" t="n">
        <v>1</v>
      </c>
      <c r="F28" s="14" t="n">
        <v>0.39</v>
      </c>
    </row>
    <row r="29" customFormat="false" ht="15" hidden="false" customHeight="false" outlineLevel="0" collapsed="false">
      <c r="A29" s="12" t="s">
        <v>304</v>
      </c>
      <c r="B29" s="15" t="n">
        <v>48.3</v>
      </c>
      <c r="C29" s="16" t="n">
        <v>18.64</v>
      </c>
      <c r="D29" s="12" t="n">
        <v>42</v>
      </c>
      <c r="E29" s="12" t="n">
        <v>2</v>
      </c>
      <c r="F29" s="16" t="n">
        <v>0.39</v>
      </c>
    </row>
    <row r="30" customFormat="false" ht="15" hidden="false" customHeight="false" outlineLevel="0" collapsed="false">
      <c r="A30" s="11" t="s">
        <v>305</v>
      </c>
      <c r="B30" s="13" t="n">
        <v>199.8</v>
      </c>
      <c r="C30" s="14" t="n">
        <v>66.98</v>
      </c>
      <c r="D30" s="11" t="n">
        <v>1003</v>
      </c>
      <c r="E30" s="11" t="n">
        <v>8</v>
      </c>
      <c r="F30" s="14" t="n">
        <v>0.34</v>
      </c>
    </row>
    <row r="31" customFormat="false" ht="15" hidden="false" customHeight="false" outlineLevel="0" collapsed="false">
      <c r="A31" s="12" t="s">
        <v>306</v>
      </c>
      <c r="B31" s="15" t="n">
        <v>37.5</v>
      </c>
      <c r="C31" s="16" t="n">
        <v>10.53</v>
      </c>
      <c r="D31" s="12" t="n">
        <v>923</v>
      </c>
      <c r="E31" s="12" t="n">
        <v>5</v>
      </c>
      <c r="F31" s="16" t="n">
        <v>0.28</v>
      </c>
    </row>
    <row r="32" customFormat="false" ht="15" hidden="false" customHeight="false" outlineLevel="0" collapsed="false">
      <c r="A32" s="17" t="s">
        <v>307</v>
      </c>
      <c r="B32" s="18" t="n">
        <v>15.1</v>
      </c>
      <c r="C32" s="19" t="n">
        <v>0</v>
      </c>
      <c r="D32" s="17" t="n">
        <v>955</v>
      </c>
      <c r="E32" s="17" t="n">
        <v>1</v>
      </c>
      <c r="F32" s="19" t="n">
        <v>0</v>
      </c>
    </row>
    <row r="33" customFormat="false" ht="15" hidden="false" customHeight="false" outlineLevel="0" collapsed="false">
      <c r="A33" s="17" t="s">
        <v>308</v>
      </c>
      <c r="B33" s="18" t="n">
        <v>25.6</v>
      </c>
      <c r="C33" s="19" t="n">
        <v>0</v>
      </c>
      <c r="D33" s="17" t="n">
        <v>1591</v>
      </c>
      <c r="E33" s="17" t="n">
        <v>4</v>
      </c>
      <c r="F33" s="19" t="n">
        <v>0</v>
      </c>
    </row>
    <row r="34" customFormat="false" ht="15" hidden="false" customHeight="false" outlineLevel="0" collapsed="false">
      <c r="A34" s="17" t="s">
        <v>309</v>
      </c>
      <c r="B34" s="18" t="n">
        <v>18.2</v>
      </c>
      <c r="C34" s="19" t="n">
        <v>0</v>
      </c>
      <c r="D34" s="17" t="n">
        <v>1103</v>
      </c>
      <c r="E34" s="17" t="n">
        <v>1</v>
      </c>
      <c r="F34" s="19" t="n">
        <v>0</v>
      </c>
    </row>
    <row r="35" customFormat="false" ht="15" hidden="false" customHeight="false" outlineLevel="0" collapsed="false">
      <c r="A35" s="12" t="s">
        <v>310</v>
      </c>
      <c r="B35" s="15" t="n">
        <v>190.6</v>
      </c>
      <c r="C35" s="16" t="n">
        <v>58.18</v>
      </c>
      <c r="D35" s="12" t="n">
        <v>133</v>
      </c>
      <c r="E35" s="12" t="n">
        <v>10</v>
      </c>
      <c r="F35" s="16" t="n">
        <v>0.31</v>
      </c>
    </row>
    <row r="36" customFormat="false" ht="15" hidden="false" customHeight="false" outlineLevel="0" collapsed="false">
      <c r="A36" s="11" t="s">
        <v>311</v>
      </c>
      <c r="B36" s="13" t="n">
        <v>127.3</v>
      </c>
      <c r="C36" s="14" t="n">
        <v>47.93</v>
      </c>
      <c r="D36" s="11" t="n">
        <v>101</v>
      </c>
      <c r="E36" s="11" t="n">
        <v>3</v>
      </c>
      <c r="F36" s="14" t="n">
        <v>0.38</v>
      </c>
    </row>
    <row r="37" customFormat="false" ht="15" hidden="false" customHeight="false" outlineLevel="0" collapsed="false">
      <c r="A37" s="12" t="s">
        <v>312</v>
      </c>
      <c r="B37" s="15" t="n">
        <v>101.5</v>
      </c>
      <c r="C37" s="16" t="n">
        <v>38.51</v>
      </c>
      <c r="D37" s="12" t="n">
        <v>65</v>
      </c>
      <c r="E37" s="12" t="n">
        <v>4</v>
      </c>
      <c r="F37" s="16" t="n">
        <v>0.38</v>
      </c>
    </row>
    <row r="38" customFormat="false" ht="15" hidden="false" customHeight="false" outlineLevel="0" collapsed="false">
      <c r="A38" s="11" t="s">
        <v>313</v>
      </c>
      <c r="B38" s="13" t="n">
        <v>94.2</v>
      </c>
      <c r="C38" s="14" t="n">
        <v>40.99</v>
      </c>
      <c r="D38" s="11" t="n">
        <v>84</v>
      </c>
      <c r="E38" s="11" t="n">
        <v>3</v>
      </c>
      <c r="F38" s="14" t="n">
        <v>0.44</v>
      </c>
    </row>
    <row r="39" customFormat="false" ht="15" hidden="false" customHeight="false" outlineLevel="0" collapsed="false">
      <c r="A39" s="12" t="s">
        <v>314</v>
      </c>
      <c r="B39" s="15" t="n">
        <v>117.8</v>
      </c>
      <c r="C39" s="16" t="n">
        <v>45.9</v>
      </c>
      <c r="D39" s="12" t="n">
        <v>75</v>
      </c>
      <c r="E39" s="12" t="n">
        <v>3</v>
      </c>
      <c r="F39" s="16" t="n">
        <v>0.39</v>
      </c>
    </row>
    <row r="40" customFormat="false" ht="15" hidden="false" customHeight="false" outlineLevel="0" collapsed="false">
      <c r="A40" s="11" t="s">
        <v>315</v>
      </c>
      <c r="B40" s="13" t="n">
        <v>95.3</v>
      </c>
      <c r="C40" s="14" t="n">
        <v>37.88</v>
      </c>
      <c r="D40" s="11" t="n">
        <v>110</v>
      </c>
      <c r="E40" s="11" t="n">
        <v>4</v>
      </c>
      <c r="F40" s="14" t="n">
        <v>0.4</v>
      </c>
    </row>
    <row r="41" customFormat="false" ht="15" hidden="false" customHeight="false" outlineLevel="0" collapsed="false">
      <c r="A41" s="12" t="s">
        <v>316</v>
      </c>
      <c r="B41" s="15" t="n">
        <v>69.6</v>
      </c>
      <c r="C41" s="16" t="n">
        <v>32.6</v>
      </c>
      <c r="D41" s="12" t="n">
        <v>122</v>
      </c>
      <c r="E41" s="12" t="n">
        <v>2</v>
      </c>
      <c r="F41" s="16" t="n">
        <v>0.47</v>
      </c>
    </row>
    <row r="42" customFormat="false" ht="15" hidden="false" customHeight="false" outlineLevel="0" collapsed="false">
      <c r="A42" s="11" t="s">
        <v>317</v>
      </c>
      <c r="B42" s="13" t="n">
        <v>94.7</v>
      </c>
      <c r="C42" s="14" t="n">
        <v>41.01</v>
      </c>
      <c r="D42" s="11" t="n">
        <v>95</v>
      </c>
      <c r="E42" s="11" t="n">
        <v>4</v>
      </c>
      <c r="F42" s="14" t="n">
        <v>0.43</v>
      </c>
    </row>
    <row r="43" customFormat="false" ht="15" hidden="false" customHeight="false" outlineLevel="0" collapsed="false">
      <c r="A43" s="12" t="s">
        <v>318</v>
      </c>
      <c r="B43" s="15" t="n">
        <v>161</v>
      </c>
      <c r="C43" s="16" t="n">
        <v>68.97</v>
      </c>
      <c r="D43" s="12" t="n">
        <v>194</v>
      </c>
      <c r="E43" s="12" t="n">
        <v>6</v>
      </c>
      <c r="F43" s="16" t="n">
        <v>0.43</v>
      </c>
    </row>
    <row r="44" customFormat="false" ht="15" hidden="false" customHeight="false" outlineLevel="0" collapsed="false">
      <c r="A44" s="11" t="s">
        <v>319</v>
      </c>
      <c r="B44" s="13" t="n">
        <v>153.9</v>
      </c>
      <c r="C44" s="14" t="n">
        <v>61.01</v>
      </c>
      <c r="D44" s="11" t="n">
        <v>131</v>
      </c>
      <c r="E44" s="11" t="n">
        <v>5</v>
      </c>
      <c r="F44" s="14" t="n">
        <v>0.4</v>
      </c>
    </row>
    <row r="45" customFormat="false" ht="15" hidden="false" customHeight="false" outlineLevel="0" collapsed="false">
      <c r="A45" s="12" t="s">
        <v>320</v>
      </c>
      <c r="B45" s="15" t="n">
        <v>104.4</v>
      </c>
      <c r="C45" s="16" t="n">
        <v>41.07</v>
      </c>
      <c r="D45" s="12" t="n">
        <v>98</v>
      </c>
      <c r="E45" s="12" t="n">
        <v>5</v>
      </c>
      <c r="F45" s="16" t="n">
        <v>0.39</v>
      </c>
    </row>
    <row r="46" customFormat="false" ht="15" hidden="false" customHeight="false" outlineLevel="0" collapsed="false">
      <c r="A46" s="11" t="s">
        <v>321</v>
      </c>
      <c r="B46" s="13" t="n">
        <v>128.2</v>
      </c>
      <c r="C46" s="14" t="n">
        <v>52.49</v>
      </c>
      <c r="D46" s="11" t="n">
        <v>85</v>
      </c>
      <c r="E46" s="11" t="n">
        <v>5</v>
      </c>
      <c r="F46" s="14" t="n">
        <v>0.41</v>
      </c>
    </row>
    <row r="47" customFormat="false" ht="15" hidden="false" customHeight="false" outlineLevel="0" collapsed="false">
      <c r="A47" s="12" t="s">
        <v>322</v>
      </c>
      <c r="B47" s="15" t="n">
        <v>33.8</v>
      </c>
      <c r="C47" s="16" t="n">
        <v>13.84</v>
      </c>
      <c r="D47" s="12" t="n">
        <v>19</v>
      </c>
      <c r="E47" s="12" t="n">
        <v>1</v>
      </c>
      <c r="F47" s="16" t="n">
        <v>0.41</v>
      </c>
    </row>
    <row r="48" customFormat="false" ht="15" hidden="false" customHeight="false" outlineLevel="0" collapsed="false">
      <c r="A48" s="11" t="s">
        <v>323</v>
      </c>
      <c r="B48" s="13" t="n">
        <v>33.1</v>
      </c>
      <c r="C48" s="14" t="n">
        <v>13.4</v>
      </c>
      <c r="D48" s="11" t="n">
        <v>16</v>
      </c>
      <c r="E48" s="11" t="n">
        <v>1</v>
      </c>
      <c r="F48" s="14" t="n">
        <v>0.4</v>
      </c>
    </row>
    <row r="49" customFormat="false" ht="15" hidden="false" customHeight="false" outlineLevel="0" collapsed="false">
      <c r="A49" s="12" t="s">
        <v>324</v>
      </c>
      <c r="B49" s="15" t="n">
        <v>68.1</v>
      </c>
      <c r="C49" s="16" t="n">
        <v>27.96</v>
      </c>
      <c r="D49" s="12" t="n">
        <v>38</v>
      </c>
      <c r="E49" s="12" t="n">
        <v>2</v>
      </c>
      <c r="F49" s="16" t="n">
        <v>0.41</v>
      </c>
    </row>
    <row r="50" customFormat="false" ht="15" hidden="false" customHeight="false" outlineLevel="0" collapsed="false">
      <c r="A50" s="11" t="s">
        <v>325</v>
      </c>
      <c r="B50" s="13" t="n">
        <v>63.8</v>
      </c>
      <c r="C50" s="14" t="n">
        <v>24.71</v>
      </c>
      <c r="D50" s="11" t="n">
        <v>45</v>
      </c>
      <c r="E50" s="11" t="n">
        <v>2</v>
      </c>
      <c r="F50" s="14" t="n">
        <v>0.39</v>
      </c>
    </row>
    <row r="51" customFormat="false" ht="15" hidden="false" customHeight="false" outlineLevel="0" collapsed="false">
      <c r="A51" s="12" t="s">
        <v>326</v>
      </c>
      <c r="B51" s="15" t="n">
        <v>90.3</v>
      </c>
      <c r="C51" s="16" t="n">
        <v>37.25</v>
      </c>
      <c r="D51" s="12" t="n">
        <v>156</v>
      </c>
      <c r="E51" s="12" t="n">
        <v>2</v>
      </c>
      <c r="F51" s="16" t="n">
        <v>0.41</v>
      </c>
    </row>
    <row r="52" customFormat="false" ht="15" hidden="false" customHeight="false" outlineLevel="0" collapsed="false">
      <c r="A52" s="11" t="s">
        <v>327</v>
      </c>
      <c r="B52" s="13" t="n">
        <v>71.9</v>
      </c>
      <c r="C52" s="14" t="n">
        <v>31.38</v>
      </c>
      <c r="D52" s="11" t="n">
        <v>98</v>
      </c>
      <c r="E52" s="11" t="n">
        <v>2</v>
      </c>
      <c r="F52" s="14" t="n">
        <v>0.44</v>
      </c>
    </row>
    <row r="53" customFormat="false" ht="15" hidden="false" customHeight="false" outlineLevel="0" collapsed="false">
      <c r="A53" s="12" t="s">
        <v>328</v>
      </c>
      <c r="B53" s="15" t="n">
        <v>92.6</v>
      </c>
      <c r="C53" s="16" t="n">
        <v>53.31</v>
      </c>
      <c r="D53" s="12" t="n">
        <v>77</v>
      </c>
      <c r="E53" s="12" t="n">
        <v>2</v>
      </c>
      <c r="F53" s="16" t="n">
        <v>0.58</v>
      </c>
    </row>
    <row r="54" customFormat="false" ht="15" hidden="false" customHeight="false" outlineLevel="0" collapsed="false">
      <c r="A54" s="11" t="s">
        <v>329</v>
      </c>
      <c r="B54" s="13" t="n">
        <v>117.6</v>
      </c>
      <c r="C54" s="14" t="n">
        <v>38.4</v>
      </c>
      <c r="D54" s="11" t="n">
        <v>855</v>
      </c>
      <c r="E54" s="11" t="n">
        <v>5</v>
      </c>
      <c r="F54" s="14" t="n">
        <v>0.33</v>
      </c>
    </row>
    <row r="55" customFormat="false" ht="15" hidden="false" customHeight="false" outlineLevel="0" collapsed="false">
      <c r="A55" s="17" t="s">
        <v>330</v>
      </c>
      <c r="B55" s="18" t="n">
        <v>18.4</v>
      </c>
      <c r="C55" s="19" t="n">
        <v>0</v>
      </c>
      <c r="D55" s="17" t="n">
        <v>1062</v>
      </c>
      <c r="E55" s="17" t="n">
        <v>2</v>
      </c>
      <c r="F55" s="19" t="n">
        <v>0</v>
      </c>
    </row>
    <row r="56" customFormat="false" ht="15" hidden="false" customHeight="false" outlineLevel="0" collapsed="false">
      <c r="A56" s="17" t="s">
        <v>331</v>
      </c>
      <c r="B56" s="18" t="n">
        <v>22.6</v>
      </c>
      <c r="C56" s="19" t="n">
        <v>0</v>
      </c>
      <c r="D56" s="17" t="n">
        <v>1250</v>
      </c>
      <c r="E56" s="17" t="n">
        <v>1</v>
      </c>
      <c r="F56" s="19" t="n">
        <v>0</v>
      </c>
    </row>
    <row r="57" customFormat="false" ht="15" hidden="false" customHeight="false" outlineLevel="0" collapsed="false">
      <c r="A57" s="17" t="s">
        <v>332</v>
      </c>
      <c r="B57" s="18" t="n">
        <v>22.2</v>
      </c>
      <c r="C57" s="19" t="n">
        <v>0</v>
      </c>
      <c r="D57" s="17" t="n">
        <v>1184</v>
      </c>
      <c r="E57" s="17" t="n">
        <v>1</v>
      </c>
      <c r="F57" s="19" t="n">
        <v>0</v>
      </c>
    </row>
    <row r="58" customFormat="false" ht="15" hidden="false" customHeight="false" outlineLevel="0" collapsed="false">
      <c r="A58" s="17" t="s">
        <v>333</v>
      </c>
      <c r="B58" s="18" t="n">
        <v>7.2</v>
      </c>
      <c r="C58" s="19" t="n">
        <v>0</v>
      </c>
      <c r="D58" s="17" t="n">
        <v>398</v>
      </c>
      <c r="E58" s="17" t="n">
        <v>1</v>
      </c>
      <c r="F58" s="19" t="n">
        <v>0</v>
      </c>
    </row>
    <row r="59" customFormat="false" ht="15" hidden="false" customHeight="false" outlineLevel="0" collapsed="false">
      <c r="A59" s="12" t="s">
        <v>334</v>
      </c>
      <c r="B59" s="15" t="n">
        <v>70.8</v>
      </c>
      <c r="C59" s="16" t="n">
        <v>20.53</v>
      </c>
      <c r="D59" s="12" t="n">
        <v>933</v>
      </c>
      <c r="E59" s="12" t="n">
        <v>4</v>
      </c>
      <c r="F59" s="16" t="n">
        <v>0.29</v>
      </c>
    </row>
    <row r="60" customFormat="false" ht="15" hidden="false" customHeight="false" outlineLevel="0" collapsed="false">
      <c r="A60" s="17" t="s">
        <v>335</v>
      </c>
      <c r="B60" s="18" t="n">
        <v>21.9</v>
      </c>
      <c r="C60" s="19" t="n">
        <v>0</v>
      </c>
      <c r="D60" s="17" t="n">
        <v>1206</v>
      </c>
      <c r="E60" s="17" t="n">
        <v>1</v>
      </c>
      <c r="F60" s="19" t="n">
        <v>0</v>
      </c>
    </row>
    <row r="61" customFormat="false" ht="15" hidden="false" customHeight="false" outlineLevel="0" collapsed="false">
      <c r="A61" s="17" t="s">
        <v>336</v>
      </c>
      <c r="B61" s="18" t="n">
        <v>19.6</v>
      </c>
      <c r="C61" s="19" t="n">
        <v>0</v>
      </c>
      <c r="D61" s="17" t="n">
        <v>1097</v>
      </c>
      <c r="E61" s="17" t="n">
        <v>2</v>
      </c>
      <c r="F61" s="19" t="n">
        <v>0</v>
      </c>
    </row>
    <row r="62" customFormat="false" ht="15" hidden="false" customHeight="false" outlineLevel="0" collapsed="false">
      <c r="A62" s="17" t="s">
        <v>337</v>
      </c>
      <c r="B62" s="18" t="n">
        <v>21.8</v>
      </c>
      <c r="C62" s="19" t="n">
        <v>0</v>
      </c>
      <c r="D62" s="17" t="n">
        <v>1208</v>
      </c>
      <c r="E62" s="17" t="n">
        <v>2</v>
      </c>
      <c r="F62" s="19" t="n">
        <v>0</v>
      </c>
    </row>
    <row r="63" customFormat="false" ht="15" hidden="false" customHeight="false" outlineLevel="0" collapsed="false">
      <c r="A63" s="17" t="s">
        <v>338</v>
      </c>
      <c r="B63" s="18" t="n">
        <v>15.1</v>
      </c>
      <c r="C63" s="19" t="n">
        <v>0</v>
      </c>
      <c r="D63" s="17" t="n">
        <v>882</v>
      </c>
      <c r="E63" s="17" t="n">
        <v>3</v>
      </c>
      <c r="F63" s="19" t="n">
        <v>0</v>
      </c>
    </row>
    <row r="64" customFormat="false" ht="15" hidden="false" customHeight="false" outlineLevel="0" collapsed="false">
      <c r="A64" s="17" t="s">
        <v>339</v>
      </c>
      <c r="B64" s="18" t="n">
        <v>19.2</v>
      </c>
      <c r="C64" s="19" t="n">
        <v>0</v>
      </c>
      <c r="D64" s="17" t="n">
        <v>1060</v>
      </c>
      <c r="E64" s="17" t="n">
        <v>2</v>
      </c>
      <c r="F64" s="19" t="n">
        <v>0</v>
      </c>
    </row>
    <row r="65" customFormat="false" ht="15" hidden="false" customHeight="false" outlineLevel="0" collapsed="false">
      <c r="A65" s="17" t="s">
        <v>340</v>
      </c>
      <c r="B65" s="18" t="n">
        <v>6.7</v>
      </c>
      <c r="C65" s="19" t="n">
        <v>0</v>
      </c>
      <c r="D65" s="17" t="n">
        <v>882</v>
      </c>
      <c r="E65" s="17" t="n">
        <v>4</v>
      </c>
      <c r="F65" s="19" t="n">
        <v>0</v>
      </c>
    </row>
    <row r="66" customFormat="false" ht="15" hidden="false" customHeight="false" outlineLevel="0" collapsed="false">
      <c r="A66" s="17" t="s">
        <v>341</v>
      </c>
      <c r="B66" s="18" t="n">
        <v>7.7</v>
      </c>
      <c r="C66" s="19" t="n">
        <v>0</v>
      </c>
      <c r="D66" s="17" t="n">
        <v>884</v>
      </c>
      <c r="E66" s="17" t="n">
        <v>2</v>
      </c>
      <c r="F66" s="19" t="n">
        <v>0</v>
      </c>
    </row>
    <row r="67" customFormat="false" ht="15" hidden="false" customHeight="false" outlineLevel="0" collapsed="false">
      <c r="A67" s="12" t="s">
        <v>342</v>
      </c>
      <c r="B67" s="15" t="n">
        <v>102.3</v>
      </c>
      <c r="C67" s="16" t="n">
        <v>73.45</v>
      </c>
      <c r="D67" s="12" t="n">
        <v>115</v>
      </c>
      <c r="E67" s="12" t="n">
        <v>5</v>
      </c>
      <c r="F67" s="16" t="n">
        <v>0.72</v>
      </c>
    </row>
    <row r="68" customFormat="false" ht="15" hidden="false" customHeight="false" outlineLevel="0" collapsed="false">
      <c r="A68" s="11" t="s">
        <v>343</v>
      </c>
      <c r="B68" s="13" t="n">
        <v>186.8</v>
      </c>
      <c r="C68" s="14" t="n">
        <v>67.73</v>
      </c>
      <c r="D68" s="11" t="n">
        <v>182</v>
      </c>
      <c r="E68" s="11" t="n">
        <v>12</v>
      </c>
      <c r="F68" s="14" t="n">
        <v>0.36</v>
      </c>
    </row>
    <row r="69" customFormat="false" ht="15" hidden="false" customHeight="false" outlineLevel="0" collapsed="false">
      <c r="A69" s="12" t="s">
        <v>344</v>
      </c>
      <c r="B69" s="15" t="n">
        <v>19.7</v>
      </c>
      <c r="C69" s="16" t="n">
        <v>8.1</v>
      </c>
      <c r="D69" s="12" t="n">
        <v>21</v>
      </c>
      <c r="E69" s="12" t="n">
        <v>1</v>
      </c>
      <c r="F69" s="16" t="n">
        <v>0.41</v>
      </c>
    </row>
    <row r="70" customFormat="false" ht="15" hidden="false" customHeight="false" outlineLevel="0" collapsed="false">
      <c r="A70" s="17" t="s">
        <v>345</v>
      </c>
      <c r="B70" s="18" t="n">
        <v>24.1</v>
      </c>
      <c r="C70" s="19" t="n">
        <v>0</v>
      </c>
      <c r="D70" s="17" t="n">
        <v>1511</v>
      </c>
      <c r="E70" s="17" t="n">
        <v>2</v>
      </c>
      <c r="F70" s="19" t="n">
        <v>0</v>
      </c>
    </row>
    <row r="71" customFormat="false" ht="15" hidden="false" customHeight="false" outlineLevel="0" collapsed="false">
      <c r="A71" s="12" t="s">
        <v>346</v>
      </c>
      <c r="B71" s="15" t="n">
        <v>235.1</v>
      </c>
      <c r="C71" s="16" t="n">
        <v>76.1</v>
      </c>
      <c r="D71" s="12" t="n">
        <v>152</v>
      </c>
      <c r="E71" s="12" t="n">
        <v>11</v>
      </c>
      <c r="F71" s="16" t="n">
        <v>0.32</v>
      </c>
    </row>
    <row r="72" customFormat="false" ht="15" hidden="false" customHeight="false" outlineLevel="0" collapsed="false">
      <c r="A72" s="11" t="s">
        <v>347</v>
      </c>
      <c r="B72" s="13" t="n">
        <v>168.5</v>
      </c>
      <c r="C72" s="14" t="n">
        <v>69.55</v>
      </c>
      <c r="D72" s="11" t="n">
        <v>109</v>
      </c>
      <c r="E72" s="11" t="n">
        <v>6</v>
      </c>
      <c r="F72" s="14" t="n">
        <v>0.41</v>
      </c>
    </row>
    <row r="73" customFormat="false" ht="15" hidden="false" customHeight="false" outlineLevel="0" collapsed="false">
      <c r="A73" s="12" t="s">
        <v>348</v>
      </c>
      <c r="B73" s="15" t="n">
        <v>49.2</v>
      </c>
      <c r="C73" s="16" t="n">
        <v>17.69</v>
      </c>
      <c r="D73" s="12" t="n">
        <v>45</v>
      </c>
      <c r="E73" s="12" t="n">
        <v>2</v>
      </c>
      <c r="F73" s="16" t="n">
        <v>0.36</v>
      </c>
    </row>
    <row r="74" customFormat="false" ht="15" hidden="false" customHeight="false" outlineLevel="0" collapsed="false">
      <c r="A74" s="11" t="s">
        <v>349</v>
      </c>
      <c r="B74" s="13" t="n">
        <v>22.5</v>
      </c>
      <c r="C74" s="14" t="n">
        <v>8.64</v>
      </c>
      <c r="D74" s="11" t="n">
        <v>9</v>
      </c>
      <c r="E74" s="11" t="n">
        <v>1</v>
      </c>
      <c r="F74" s="14" t="n">
        <v>0.38</v>
      </c>
    </row>
    <row r="75" customFormat="false" ht="15" hidden="false" customHeight="false" outlineLevel="0" collapsed="false">
      <c r="A75" s="12" t="s">
        <v>350</v>
      </c>
      <c r="B75" s="15" t="n">
        <v>67</v>
      </c>
      <c r="C75" s="16" t="n">
        <v>25.06</v>
      </c>
      <c r="D75" s="12" t="n">
        <v>83</v>
      </c>
      <c r="E75" s="12" t="n">
        <v>2</v>
      </c>
      <c r="F75" s="16" t="n">
        <v>0.37</v>
      </c>
    </row>
    <row r="76" customFormat="false" ht="15" hidden="false" customHeight="false" outlineLevel="0" collapsed="false">
      <c r="A76" s="11" t="s">
        <v>351</v>
      </c>
      <c r="B76" s="13" t="n">
        <v>39.5</v>
      </c>
      <c r="C76" s="14" t="n">
        <v>15.21</v>
      </c>
      <c r="D76" s="11" t="n">
        <v>43</v>
      </c>
      <c r="E76" s="11" t="n">
        <v>1</v>
      </c>
      <c r="F76" s="14" t="n">
        <v>0.38</v>
      </c>
    </row>
    <row r="77" customFormat="false" ht="15" hidden="false" customHeight="false" outlineLevel="0" collapsed="false">
      <c r="A77" s="20" t="s">
        <v>352</v>
      </c>
      <c r="B77" s="21" t="n">
        <f aca="false">SUM(B4:B76)</f>
        <v>6145.5</v>
      </c>
      <c r="C77" s="22" t="n">
        <f aca="false">SUM(C4:C76)</f>
        <v>2272.23</v>
      </c>
      <c r="D77" s="20" t="n">
        <f aca="false">SUM(D4:D76)</f>
        <v>26897</v>
      </c>
      <c r="E77" s="20" t="n">
        <f aca="false">SUM(E4:E76)</f>
        <v>259</v>
      </c>
      <c r="F77" s="23"/>
    </row>
    <row r="80" customFormat="false" ht="15" hidden="false" customHeight="false" outlineLevel="0" collapsed="false">
      <c r="A80" s="3" t="s">
        <v>353</v>
      </c>
      <c r="B80" s="4"/>
      <c r="C80" s="4"/>
      <c r="D80" s="4"/>
      <c r="E80" s="4"/>
    </row>
    <row r="81" customFormat="false" ht="15" hidden="false" customHeight="false" outlineLevel="0" collapsed="false">
      <c r="A81" s="10" t="s">
        <v>354</v>
      </c>
      <c r="B81" s="10" t="s">
        <v>274</v>
      </c>
      <c r="C81" s="10" t="s">
        <v>275</v>
      </c>
      <c r="D81" s="10" t="s">
        <v>277</v>
      </c>
      <c r="E81" s="10" t="s">
        <v>276</v>
      </c>
    </row>
    <row r="82" customFormat="false" ht="15" hidden="false" customHeight="false" outlineLevel="0" collapsed="false">
      <c r="A82" s="17" t="s">
        <v>355</v>
      </c>
      <c r="B82" s="17" t="n">
        <v>212.5</v>
      </c>
      <c r="C82" s="19" t="n">
        <v>0</v>
      </c>
      <c r="D82" s="17" t="n">
        <v>25</v>
      </c>
      <c r="E82" s="17" t="n">
        <v>12785</v>
      </c>
    </row>
    <row r="83" customFormat="false" ht="15" hidden="false" customHeight="false" outlineLevel="0" collapsed="false">
      <c r="A83" s="17" t="s">
        <v>356</v>
      </c>
      <c r="B83" s="17" t="n">
        <v>62.8</v>
      </c>
      <c r="C83" s="19" t="n">
        <v>0</v>
      </c>
      <c r="D83" s="17" t="n">
        <v>9</v>
      </c>
      <c r="E83" s="17" t="n">
        <v>4483</v>
      </c>
    </row>
    <row r="84" customFormat="false" ht="15" hidden="false" customHeight="false" outlineLevel="0" collapsed="false">
      <c r="A84" s="11" t="s">
        <v>357</v>
      </c>
      <c r="B84" s="11" t="n">
        <v>60.4</v>
      </c>
      <c r="C84" s="14" t="n">
        <v>56.54</v>
      </c>
      <c r="D84" s="11" t="n">
        <v>6</v>
      </c>
      <c r="E84" s="11" t="n">
        <v>128</v>
      </c>
    </row>
    <row r="85" customFormat="false" ht="15" hidden="false" customHeight="false" outlineLevel="0" collapsed="false">
      <c r="A85" s="12" t="s">
        <v>358</v>
      </c>
      <c r="B85" s="12" t="n">
        <v>67</v>
      </c>
      <c r="C85" s="16" t="n">
        <v>23.49</v>
      </c>
      <c r="D85" s="12" t="n">
        <v>5</v>
      </c>
      <c r="E85" s="12" t="n">
        <v>148</v>
      </c>
    </row>
    <row r="86" customFormat="false" ht="15" hidden="false" customHeight="false" outlineLevel="0" collapsed="false">
      <c r="A86" s="17" t="s">
        <v>359</v>
      </c>
      <c r="B86" s="17" t="n">
        <v>54.9</v>
      </c>
      <c r="C86" s="19" t="n">
        <v>0</v>
      </c>
      <c r="D86" s="17" t="n">
        <v>5</v>
      </c>
      <c r="E86" s="17" t="n">
        <v>1031</v>
      </c>
    </row>
    <row r="87" customFormat="false" ht="15" hidden="false" customHeight="false" outlineLevel="0" collapsed="false">
      <c r="A87" s="12" t="s">
        <v>360</v>
      </c>
      <c r="B87" s="12" t="n">
        <v>36.8</v>
      </c>
      <c r="C87" s="16" t="n">
        <v>14.32</v>
      </c>
      <c r="D87" s="12" t="n">
        <v>5</v>
      </c>
      <c r="E87" s="12" t="n">
        <v>32</v>
      </c>
    </row>
    <row r="88" customFormat="false" ht="15" hidden="false" customHeight="false" outlineLevel="0" collapsed="false">
      <c r="A88" s="11" t="s">
        <v>361</v>
      </c>
      <c r="B88" s="11" t="n">
        <v>117.1</v>
      </c>
      <c r="C88" s="14" t="n">
        <v>36.22</v>
      </c>
      <c r="D88" s="11" t="n">
        <v>5</v>
      </c>
      <c r="E88" s="11" t="n">
        <v>158</v>
      </c>
    </row>
    <row r="89" customFormat="false" ht="15" hidden="false" customHeight="false" outlineLevel="0" collapsed="false">
      <c r="A89" s="12" t="s">
        <v>362</v>
      </c>
      <c r="B89" s="12" t="n">
        <v>45.7</v>
      </c>
      <c r="C89" s="16" t="n">
        <v>17.54</v>
      </c>
      <c r="D89" s="12" t="n">
        <v>4</v>
      </c>
      <c r="E89" s="12" t="n">
        <v>37</v>
      </c>
    </row>
    <row r="90" customFormat="false" ht="15" hidden="false" customHeight="false" outlineLevel="0" collapsed="false">
      <c r="A90" s="11" t="s">
        <v>363</v>
      </c>
      <c r="B90" s="11" t="n">
        <v>31.6</v>
      </c>
      <c r="C90" s="14" t="n">
        <v>10.54</v>
      </c>
      <c r="D90" s="11" t="n">
        <v>3</v>
      </c>
      <c r="E90" s="11" t="n">
        <v>24</v>
      </c>
    </row>
    <row r="91" customFormat="false" ht="15" hidden="false" customHeight="false" outlineLevel="0" collapsed="false">
      <c r="A91" s="12" t="s">
        <v>364</v>
      </c>
      <c r="B91" s="12" t="n">
        <v>33.2</v>
      </c>
      <c r="C91" s="16" t="n">
        <v>11.31</v>
      </c>
      <c r="D91" s="12" t="n">
        <v>3</v>
      </c>
      <c r="E91" s="12" t="n">
        <v>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8"/>
  </cols>
  <sheetData>
    <row r="1" customFormat="false" ht="19.7" hidden="false" customHeight="false" outlineLevel="0" collapsed="false">
      <c r="A1" s="1" t="s">
        <v>365</v>
      </c>
      <c r="B1" s="1"/>
      <c r="C1" s="1"/>
    </row>
    <row r="3" customFormat="false" ht="15" hidden="false" customHeight="false" outlineLevel="0" collapsed="false">
      <c r="A3" s="24" t="s">
        <v>366</v>
      </c>
      <c r="B3" s="24"/>
      <c r="C3" s="24"/>
    </row>
    <row r="4" customFormat="false" ht="15" hidden="false" customHeight="false" outlineLevel="0" collapsed="false">
      <c r="A4" s="5" t="s">
        <v>367</v>
      </c>
      <c r="B4" s="5" t="s">
        <v>368</v>
      </c>
      <c r="C4" s="5" t="s">
        <v>369</v>
      </c>
    </row>
    <row r="5" customFormat="false" ht="15" hidden="false" customHeight="false" outlineLevel="0" collapsed="false">
      <c r="A5" s="6" t="s">
        <v>370</v>
      </c>
      <c r="B5" s="6" t="s">
        <v>371</v>
      </c>
      <c r="C5" s="6" t="s">
        <v>372</v>
      </c>
    </row>
    <row r="6" customFormat="false" ht="15" hidden="false" customHeight="false" outlineLevel="0" collapsed="false">
      <c r="A6" s="6" t="s">
        <v>373</v>
      </c>
      <c r="B6" s="6" t="s">
        <v>374</v>
      </c>
      <c r="C6" s="6" t="s">
        <v>375</v>
      </c>
    </row>
    <row r="7" customFormat="false" ht="15" hidden="false" customHeight="false" outlineLevel="0" collapsed="false">
      <c r="A7" s="6"/>
      <c r="B7" s="6"/>
      <c r="C7" s="6"/>
    </row>
    <row r="8" customFormat="false" ht="15" hidden="false" customHeight="false" outlineLevel="0" collapsed="false">
      <c r="A8" s="24" t="s">
        <v>376</v>
      </c>
      <c r="B8" s="24"/>
      <c r="C8" s="24"/>
    </row>
    <row r="9" customFormat="false" ht="15" hidden="false" customHeight="false" outlineLevel="0" collapsed="false">
      <c r="A9" s="5" t="s">
        <v>367</v>
      </c>
      <c r="B9" s="5" t="s">
        <v>368</v>
      </c>
      <c r="C9" s="5" t="s">
        <v>369</v>
      </c>
    </row>
    <row r="10" customFormat="false" ht="15" hidden="false" customHeight="false" outlineLevel="0" collapsed="false">
      <c r="A10" s="6" t="s">
        <v>377</v>
      </c>
      <c r="B10" s="6" t="s">
        <v>378</v>
      </c>
      <c r="C10" s="6" t="s">
        <v>379</v>
      </c>
    </row>
    <row r="11" customFormat="false" ht="15" hidden="false" customHeight="false" outlineLevel="0" collapsed="false">
      <c r="A11" s="6" t="s">
        <v>380</v>
      </c>
      <c r="B11" s="6" t="s">
        <v>381</v>
      </c>
      <c r="C11" s="6" t="s">
        <v>382</v>
      </c>
    </row>
    <row r="12" customFormat="false" ht="15" hidden="false" customHeight="false" outlineLevel="0" collapsed="false">
      <c r="A12" s="6" t="s">
        <v>383</v>
      </c>
      <c r="B12" s="6" t="s">
        <v>384</v>
      </c>
      <c r="C12" s="6" t="s">
        <v>385</v>
      </c>
    </row>
    <row r="13" customFormat="false" ht="15" hidden="false" customHeight="false" outlineLevel="0" collapsed="false">
      <c r="A13" s="6" t="s">
        <v>386</v>
      </c>
      <c r="B13" s="6" t="s">
        <v>387</v>
      </c>
      <c r="C13" s="6" t="s">
        <v>388</v>
      </c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24" t="s">
        <v>389</v>
      </c>
      <c r="B15" s="24"/>
      <c r="C15" s="24"/>
    </row>
    <row r="16" customFormat="false" ht="15" hidden="false" customHeight="false" outlineLevel="0" collapsed="false">
      <c r="A16" s="5" t="s">
        <v>367</v>
      </c>
      <c r="B16" s="5" t="s">
        <v>368</v>
      </c>
      <c r="C16" s="5" t="s">
        <v>369</v>
      </c>
    </row>
    <row r="17" customFormat="false" ht="15" hidden="false" customHeight="false" outlineLevel="0" collapsed="false">
      <c r="A17" s="6" t="s">
        <v>390</v>
      </c>
      <c r="B17" s="6" t="s">
        <v>391</v>
      </c>
      <c r="C17" s="6" t="s">
        <v>392</v>
      </c>
    </row>
    <row r="18" customFormat="false" ht="15" hidden="false" customHeight="false" outlineLevel="0" collapsed="false">
      <c r="A18" s="6" t="s">
        <v>393</v>
      </c>
      <c r="B18" s="6" t="s">
        <v>394</v>
      </c>
      <c r="C18" s="6" t="s">
        <v>395</v>
      </c>
    </row>
    <row r="19" customFormat="false" ht="15" hidden="false" customHeight="false" outlineLevel="0" collapsed="false">
      <c r="A19" s="6" t="s">
        <v>396</v>
      </c>
      <c r="B19" s="6" t="s">
        <v>397</v>
      </c>
      <c r="C19" s="6" t="s">
        <v>398</v>
      </c>
    </row>
    <row r="20" customFormat="false" ht="15" hidden="false" customHeight="false" outlineLevel="0" collapsed="false">
      <c r="A20" s="6" t="s">
        <v>399</v>
      </c>
      <c r="B20" s="6" t="s">
        <v>400</v>
      </c>
      <c r="C20" s="6" t="s">
        <v>401</v>
      </c>
    </row>
    <row r="21" customFormat="false" ht="15" hidden="false" customHeight="false" outlineLevel="0" collapsed="false">
      <c r="A21" s="6" t="s">
        <v>402</v>
      </c>
      <c r="B21" s="6" t="s">
        <v>403</v>
      </c>
      <c r="C21" s="6" t="s">
        <v>404</v>
      </c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24" t="s">
        <v>405</v>
      </c>
      <c r="B23" s="24"/>
      <c r="C23" s="24"/>
    </row>
    <row r="24" customFormat="false" ht="15" hidden="false" customHeight="false" outlineLevel="0" collapsed="false">
      <c r="A24" s="5" t="s">
        <v>367</v>
      </c>
      <c r="B24" s="5" t="s">
        <v>368</v>
      </c>
      <c r="C24" s="5" t="s">
        <v>369</v>
      </c>
    </row>
    <row r="25" customFormat="false" ht="15" hidden="false" customHeight="false" outlineLevel="0" collapsed="false">
      <c r="A25" s="6" t="s">
        <v>406</v>
      </c>
      <c r="B25" s="6" t="s">
        <v>407</v>
      </c>
      <c r="C25" s="6" t="s">
        <v>408</v>
      </c>
    </row>
    <row r="26" customFormat="false" ht="15" hidden="false" customHeight="false" outlineLevel="0" collapsed="false">
      <c r="A26" s="6" t="s">
        <v>409</v>
      </c>
      <c r="B26" s="6" t="s">
        <v>407</v>
      </c>
      <c r="C26" s="6" t="s">
        <v>410</v>
      </c>
    </row>
    <row r="27" customFormat="false" ht="15" hidden="false" customHeight="false" outlineLevel="0" collapsed="false">
      <c r="A27" s="6" t="s">
        <v>411</v>
      </c>
      <c r="B27" s="6" t="s">
        <v>407</v>
      </c>
      <c r="C27" s="6" t="s">
        <v>412</v>
      </c>
    </row>
    <row r="28" customFormat="false" ht="15" hidden="false" customHeight="false" outlineLevel="0" collapsed="false">
      <c r="A28" s="6" t="s">
        <v>413</v>
      </c>
      <c r="B28" s="6" t="s">
        <v>407</v>
      </c>
      <c r="C28" s="6" t="s">
        <v>414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1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" t="s">
        <v>415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0" t="s">
        <v>416</v>
      </c>
      <c r="B3" s="10" t="s">
        <v>417</v>
      </c>
      <c r="C3" s="10" t="s">
        <v>418</v>
      </c>
      <c r="D3" s="10" t="s">
        <v>6</v>
      </c>
      <c r="E3" s="10" t="s">
        <v>419</v>
      </c>
      <c r="F3" s="10" t="s">
        <v>420</v>
      </c>
    </row>
    <row r="4" customFormat="false" ht="15" hidden="false" customHeight="false" outlineLevel="0" collapsed="false">
      <c r="A4" s="25" t="s">
        <v>421</v>
      </c>
      <c r="B4" s="12" t="s">
        <v>422</v>
      </c>
      <c r="C4" s="12" t="s">
        <v>29</v>
      </c>
      <c r="D4" s="12" t="s">
        <v>423</v>
      </c>
      <c r="E4" s="12" t="s">
        <v>424</v>
      </c>
      <c r="F4" s="12" t="s">
        <v>425</v>
      </c>
    </row>
    <row r="5" customFormat="false" ht="15" hidden="false" customHeight="false" outlineLevel="0" collapsed="false">
      <c r="A5" s="25" t="s">
        <v>421</v>
      </c>
      <c r="B5" s="12" t="s">
        <v>426</v>
      </c>
      <c r="C5" s="12" t="s">
        <v>33</v>
      </c>
      <c r="D5" s="12" t="s">
        <v>423</v>
      </c>
      <c r="E5" s="12" t="s">
        <v>427</v>
      </c>
      <c r="F5" s="12" t="s">
        <v>428</v>
      </c>
    </row>
    <row r="6" customFormat="false" ht="15" hidden="false" customHeight="false" outlineLevel="0" collapsed="false">
      <c r="A6" s="25" t="s">
        <v>421</v>
      </c>
      <c r="B6" s="12" t="s">
        <v>429</v>
      </c>
      <c r="C6" s="12" t="s">
        <v>37</v>
      </c>
      <c r="D6" s="12" t="s">
        <v>423</v>
      </c>
      <c r="E6" s="12" t="s">
        <v>430</v>
      </c>
      <c r="F6" s="12" t="s">
        <v>431</v>
      </c>
    </row>
    <row r="7" customFormat="false" ht="15" hidden="false" customHeight="false" outlineLevel="0" collapsed="false">
      <c r="A7" s="25" t="s">
        <v>421</v>
      </c>
      <c r="B7" s="12" t="s">
        <v>432</v>
      </c>
      <c r="C7" s="12" t="s">
        <v>40</v>
      </c>
      <c r="D7" s="12" t="s">
        <v>423</v>
      </c>
      <c r="E7" s="12" t="s">
        <v>433</v>
      </c>
      <c r="F7" s="12" t="s">
        <v>434</v>
      </c>
    </row>
    <row r="8" customFormat="false" ht="15" hidden="false" customHeight="false" outlineLevel="0" collapsed="false">
      <c r="A8" s="25" t="s">
        <v>421</v>
      </c>
      <c r="B8" s="12" t="s">
        <v>435</v>
      </c>
      <c r="C8" s="12" t="s">
        <v>436</v>
      </c>
      <c r="D8" s="12" t="s">
        <v>437</v>
      </c>
      <c r="E8" s="12" t="s">
        <v>438</v>
      </c>
      <c r="F8" s="12" t="s">
        <v>439</v>
      </c>
    </row>
    <row r="9" customFormat="false" ht="15" hidden="false" customHeight="false" outlineLevel="0" collapsed="false">
      <c r="A9" s="25" t="s">
        <v>421</v>
      </c>
      <c r="B9" s="12" t="s">
        <v>440</v>
      </c>
      <c r="C9" s="12" t="s">
        <v>441</v>
      </c>
      <c r="D9" s="12" t="s">
        <v>442</v>
      </c>
      <c r="E9" s="12" t="s">
        <v>443</v>
      </c>
      <c r="F9" s="12" t="s">
        <v>444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</row>
    <row r="11" customFormat="false" ht="15" hidden="false" customHeight="false" outlineLevel="0" collapsed="false">
      <c r="A11" s="17" t="s">
        <v>445</v>
      </c>
      <c r="B11" s="12" t="s">
        <v>422</v>
      </c>
      <c r="C11" s="12" t="s">
        <v>30</v>
      </c>
      <c r="D11" s="12" t="s">
        <v>446</v>
      </c>
      <c r="E11" s="12" t="s">
        <v>447</v>
      </c>
      <c r="F11" s="12" t="s">
        <v>448</v>
      </c>
    </row>
    <row r="12" customFormat="false" ht="15" hidden="false" customHeight="false" outlineLevel="0" collapsed="false">
      <c r="A12" s="17" t="s">
        <v>445</v>
      </c>
      <c r="B12" s="12" t="s">
        <v>435</v>
      </c>
      <c r="C12" s="12" t="s">
        <v>45</v>
      </c>
      <c r="D12" s="12" t="s">
        <v>446</v>
      </c>
      <c r="E12" s="12" t="s">
        <v>449</v>
      </c>
      <c r="F12" s="12" t="s">
        <v>450</v>
      </c>
    </row>
    <row r="13" customFormat="false" ht="15" hidden="false" customHeight="false" outlineLevel="0" collapsed="false">
      <c r="A13" s="17" t="s">
        <v>445</v>
      </c>
      <c r="B13" s="12" t="s">
        <v>426</v>
      </c>
      <c r="C13" s="12" t="s">
        <v>34</v>
      </c>
      <c r="D13" s="12" t="s">
        <v>446</v>
      </c>
      <c r="E13" s="12" t="s">
        <v>451</v>
      </c>
      <c r="F13" s="12" t="s">
        <v>450</v>
      </c>
    </row>
    <row r="14" customFormat="false" ht="15" hidden="false" customHeight="false" outlineLevel="0" collapsed="false">
      <c r="A14" s="17" t="s">
        <v>445</v>
      </c>
      <c r="B14" s="12" t="s">
        <v>429</v>
      </c>
      <c r="C14" s="12" t="s">
        <v>30</v>
      </c>
      <c r="D14" s="12" t="s">
        <v>446</v>
      </c>
      <c r="E14" s="12" t="s">
        <v>452</v>
      </c>
      <c r="F14" s="12" t="s">
        <v>450</v>
      </c>
    </row>
    <row r="15" customFormat="false" ht="15" hidden="false" customHeight="false" outlineLevel="0" collapsed="false">
      <c r="A15" s="17" t="s">
        <v>445</v>
      </c>
      <c r="B15" s="12" t="s">
        <v>432</v>
      </c>
      <c r="C15" s="12" t="s">
        <v>41</v>
      </c>
      <c r="D15" s="12" t="s">
        <v>446</v>
      </c>
      <c r="E15" s="12" t="s">
        <v>453</v>
      </c>
      <c r="F15" s="12" t="s">
        <v>450</v>
      </c>
    </row>
    <row r="16" customFormat="false" ht="15" hidden="false" customHeight="false" outlineLevel="0" collapsed="false">
      <c r="A16" s="17" t="s">
        <v>445</v>
      </c>
      <c r="B16" s="12" t="s">
        <v>440</v>
      </c>
      <c r="C16" s="12" t="s">
        <v>454</v>
      </c>
      <c r="D16" s="12" t="s">
        <v>446</v>
      </c>
      <c r="E16" s="12" t="s">
        <v>455</v>
      </c>
      <c r="F16" s="12" t="s">
        <v>456</v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26" t="s">
        <v>457</v>
      </c>
      <c r="B18" s="12" t="s">
        <v>458</v>
      </c>
      <c r="C18" s="12" t="s">
        <v>442</v>
      </c>
      <c r="D18" s="12" t="s">
        <v>459</v>
      </c>
      <c r="E18" s="12" t="s">
        <v>460</v>
      </c>
      <c r="F18" s="12" t="s">
        <v>461</v>
      </c>
    </row>
    <row r="19" customFormat="false" ht="15" hidden="false" customHeight="false" outlineLevel="0" collapsed="false">
      <c r="A19" s="26" t="s">
        <v>457</v>
      </c>
      <c r="B19" s="12" t="s">
        <v>462</v>
      </c>
      <c r="C19" s="12" t="s">
        <v>442</v>
      </c>
      <c r="D19" s="12" t="s">
        <v>463</v>
      </c>
      <c r="E19" s="12" t="s">
        <v>464</v>
      </c>
      <c r="F19" s="12" t="s">
        <v>465</v>
      </c>
    </row>
    <row r="20" customFormat="false" ht="15" hidden="false" customHeight="false" outlineLevel="0" collapsed="false">
      <c r="A20" s="26" t="s">
        <v>457</v>
      </c>
      <c r="B20" s="12" t="s">
        <v>466</v>
      </c>
      <c r="C20" s="12" t="s">
        <v>467</v>
      </c>
      <c r="D20" s="12" t="s">
        <v>468</v>
      </c>
      <c r="E20" s="12" t="s">
        <v>469</v>
      </c>
      <c r="F20" s="12" t="s">
        <v>470</v>
      </c>
    </row>
    <row r="21" customFormat="false" ht="15" hidden="false" customHeight="false" outlineLevel="0" collapsed="false">
      <c r="A21" s="26" t="s">
        <v>457</v>
      </c>
      <c r="B21" s="12" t="s">
        <v>471</v>
      </c>
      <c r="C21" s="12" t="s">
        <v>472</v>
      </c>
      <c r="D21" s="12" t="s">
        <v>473</v>
      </c>
      <c r="E21" s="12" t="s">
        <v>474</v>
      </c>
      <c r="F21" s="12" t="s">
        <v>470</v>
      </c>
    </row>
    <row r="22" customFormat="false" ht="15" hidden="false" customHeight="false" outlineLevel="0" collapsed="false">
      <c r="A22" s="26" t="s">
        <v>457</v>
      </c>
      <c r="B22" s="12" t="s">
        <v>475</v>
      </c>
      <c r="C22" s="12" t="s">
        <v>442</v>
      </c>
      <c r="D22" s="12" t="s">
        <v>476</v>
      </c>
      <c r="E22" s="12" t="s">
        <v>477</v>
      </c>
      <c r="F22" s="12" t="s">
        <v>478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2026-03-09T08:33:26Z</dcterms:created>
  <dc:creator>openpyxl</dc:creator>
  <dc:description/>
  <dc:language>en-US</dc:language>
  <cp:lastModifiedBy/>
  <dcterms:modified xsi:type="dcterms:W3CDTF">2026-03-09T08:33:26Z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